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 activeTab="1"/>
  </x:bookViews>
  <x:sheets>
    <x:sheet name="사용안내" sheetId="1" r:id="rId4"/>
    <x:sheet name="기도대상자관리" sheetId="2" r:id="rId5"/>
    <x:sheet name="일만상상프로젝트" sheetId="3" r:id="rId6"/>
    <x:sheet name="전도현황" sheetId="4" r:id="rId7"/>
    <x:sheet name="목록" sheetId="5" r:id="rId8"/>
    <x:sheet name="환경설정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<x:sst xmlns:r="http://schemas.openxmlformats.org/officeDocument/2006/relationships" xmlns:c="http://schemas.openxmlformats.org/drawingml/2006/chart" xmlns:x="http://schemas.openxmlformats.org/spreadsheetml/2006/main" count="1034" uniqueCount="374">
  <x:si>
    <x:t>운영 팁: '진행상태'와 '다음연락일'을 꾸준히 갱신하면 앱의 전도현황이 정확해집니다.</x:t>
  </x:si>
  <x:si>
    <x:t>군포중학교 무료급식(37회)</x:t>
  </x:si>
  <x:si>
    <x:t>군포중학교 무료급식(33회)</x:t>
  </x:si>
  <x:si>
    <x:t>군포중학교 무료급식(23회)</x:t>
  </x:si>
  <x:si>
    <x:t>군포중학교 무료급식(40회)</x:t>
  </x:si>
  <x:si>
    <x:t>군포중학교 무료급식(32회)</x:t>
  </x:si>
  <x:si>
    <x:t>군포중학교 무료급식(35회)</x:t>
  </x:si>
  <x:si>
    <x:t>군포중학교 무료급식(16회)</x:t>
  </x:si>
  <x:si>
    <x:t>군포중학교 무료급식(22회)</x:t>
  </x:si>
  <x:si>
    <x:t>군포중학교 무료급식(27회)</x:t>
  </x:si>
  <x:si>
    <x:t>군포중학교 무료급식(31회)</x:t>
  </x:si>
  <x:si>
    <x:t>군포중학교 무료급식(18회)</x:t>
  </x:si>
  <x:si>
    <x:t>군포중학교 무료급식(24회)</x:t>
  </x:si>
  <x:si>
    <x:t>수원역 노숙인을 위한 봉사</x:t>
  </x:si>
  <x:si>
    <x:t>군포영문 인근 초등학생</x:t>
  </x:si>
  <x:si>
    <x:t>군포중학교 무료급식(29회)</x:t>
  </x:si>
  <x:si>
    <x:t>군포중학교 무료급식(36회)</x:t>
  </x:si>
  <x:si>
    <x:t>군포중학교 무료급식(19회)</x:t>
  </x:si>
  <x:si>
    <x:t>기도대상자관리 표준양식</x:t>
  </x:si>
  <x:si>
    <x:t>군포중학교 무료급식(25회)</x:t>
  </x:si>
  <x:si>
    <x:t>지역사회 무료급식 봉사</x:t>
  </x:si>
  <x:si>
    <x:t>군포중학교 무료급식(21회)</x:t>
  </x:si>
  <x:si>
    <x:t>군포중학교 무료급식(28회)</x:t>
  </x:si>
  <x:si>
    <x:t>군포중학교 무료급식(26회)</x:t>
  </x:si>
  <x:si>
    <x:t>군포중학교 무료급식(38회)</x:t>
  </x:si>
  <x:si>
    <x:t>일만상상 프로젝트 표준양식</x:t>
  </x:si>
  <x:si>
    <x:t>군포중학교 무료급식(39회)</x:t>
  </x:si>
  <x:si>
    <x:t>군포중학교 무료급식(42회)</x:t>
  </x:si>
  <x:si>
    <x:t>군포중학교 무료급식(44회)</x:t>
  </x:si>
  <x:si>
    <x:t>군포중학교 무료급식(41회)</x:t>
  </x:si>
  <x:si>
    <x:t>예수님 믿고 구원 받기를</x:t>
  </x:si>
  <x:si>
    <x:t>군포중학교 무료급식(34회)</x:t>
  </x:si>
  <x:si>
    <x:t>군포중학교 무료급식(17회)</x:t>
  </x:si>
  <x:si>
    <x:t>군포중학교 무료급식(30회)</x:t>
  </x:si>
  <x:si>
    <x:t>지역 초등생 무료 라면급식</x:t>
  </x:si>
  <x:si>
    <x:t>군포중학교 무료급식(43회)</x:t>
  </x:si>
  <x:si>
    <x:t>군포중학교 무료급식(15회)</x:t>
  </x:si>
  <x:si>
    <x:t>전도현황 자동 대시보드</x:t>
  </x:si>
  <x:si>
    <x:t>군포중학교 무료급식(14회)</x:t>
  </x:si>
  <x:si>
    <x:t>군포중학교 무료급식(20회)</x:t>
  </x:si>
  <x:si>
    <x:t>실적은 실제 활동 기준으로 기록하세요.</x:t>
  </x:si>
  <x:si>
    <x:t>단계별 인원, 목표 달성률, 담당자별 현황</x:t>
  </x:si>
  <x:si>
    <x:t>아들 박지우 건강과 교회 참석을 위해</x:t>
  </x:si>
  <x:si>
    <x:t>개인정보는 꼭 필요한 범위만 입력하세요.</x:t>
  </x:si>
  <x:si>
    <x:t>앱에 설정된 최신 버전을 자동으로 표시</x:t>
  </x:si>
  <x:si>
    <x:t>연락처, 관계, 최근만남일, 다음연락일</x:t>
  </x:si>
  <x:si>
    <x:t>기도대상자와 프로젝트 자료를 자동 집계</x:t>
  </x:si>
  <x:si>
    <x:t>홈 화면과 전도현황의 연간 영혼구원 목표</x:t>
  </x:si>
  <x:si>
    <x:t>변경 시</x:t>
  </x:si>
  <x:si>
    <x:t>선택 입력</x:t>
  </x:si>
  <x:si>
    <x:t>P-0028</x:t>
  </x:si>
  <x:si>
    <x:t>기도응답일</x:t>
  </x:si>
  <x:si>
    <x:t>작성 시트</x:t>
  </x:si>
  <x:si>
    <x:t>핵심 목적</x:t>
  </x:si>
  <x:si>
    <x:t>앱에서 활용</x:t>
  </x:si>
  <x:si>
    <x:t>기도제목상세</x:t>
  </x:si>
  <x:si>
    <x:t>관리번호</x:t>
  </x:si>
  <x:si>
    <x:t>주의사항</x:t>
  </x:si>
  <x:si>
    <x:t>반드시 입력</x:t>
  </x:si>
  <x:si>
    <x:t>관계구분</x:t>
  </x:si>
  <x:si>
    <x:t>사랑그룹</x:t>
  </x:si>
  <x:si>
    <x:t>직장 동료</x:t>
  </x:si>
  <x:si>
    <x:t>관계상세</x:t>
  </x:si>
  <x:si>
    <x:t>등록교인일</x:t>
  </x:si>
  <x:si>
    <x:t>진행상태</x:t>
  </x:si>
  <x:si>
    <x:t>군우편입</x:t>
  </x:si>
  <x:si>
    <x:t>프로젝트분야</x:t>
  </x:si>
  <x:si>
    <x:t>공개범위</x:t>
  </x:si>
  <x:si>
    <x:t>프로젝트 상태</x:t>
  </x:si>
  <x:si>
    <x:t>다음연락일</x:t>
  </x:si>
  <x:si>
    <x:t>최근만남일</x:t>
  </x:si>
  <x:si>
    <x:t>기도제목구분</x:t>
  </x:si>
  <x:si>
    <x:t>군우편입일</x:t>
  </x:si>
  <x:si>
    <x:t>성과구분</x:t>
  </x:si>
  <x:si>
    <x:t>P-0002</x:t>
  </x:si>
  <x:si>
    <x:t>전도현황</x:t>
  </x:si>
  <x:si>
    <x:t>기도대상자관리</x:t>
  </x:si>
  <x:si>
    <x:t>월 1회 이상</x:t>
  </x:si>
  <x:si>
    <x:t>사진·자료링크</x:t>
  </x:si>
  <x:si>
    <x:t>작성 원칙</x:t>
  </x:si>
  <x:si>
    <x:t>사용여부</x:t>
  </x:si>
  <x:si>
    <x:t>P-0027</x:t>
  </x:si>
  <x:si>
    <x:t>P-0001</x:t>
  </x:si>
  <x:si>
    <x:t>관계형성</x:t>
  </x:si>
  <x:si>
    <x:t>기도시작일</x:t>
  </x:si>
  <x:si>
    <x:t>라면Day</x:t>
  </x:si>
  <x:si>
    <x:t>P-0013</x:t>
  </x:si>
  <x:si>
    <x:t>수혜인원</x:t>
  </x:si>
  <x:si>
    <x:t>성과수량</x:t>
  </x:si>
  <x:si>
    <x:t>등록교인</x:t>
  </x:si>
  <x:si>
    <x:t>작성 주기</x:t>
  </x:si>
  <x:si>
    <x:t>P-0026</x:t>
  </x:si>
  <x:si>
    <x:t>교회방문</x:t>
  </x:si>
  <x:si>
    <x:t>실제지출</x:t>
  </x:si>
  <x:si>
    <x:t>교회방문일</x:t>
  </x:si>
  <x:si>
    <x:t>전도단계</x:t>
  </x:si>
  <x:si>
    <x:t>기준연도</x:t>
  </x:si>
  <x:si>
    <x:t>사회복지</x:t>
  </x:si>
  <x:si>
    <x:t>참여인원</x:t>
  </x:si>
  <x:si>
    <x:t>연간출석목표</x:t>
  </x:si>
  <x:si>
    <x:t>핵심활동</x:t>
  </x:si>
  <x:si>
    <x:t>프로젝트번호</x:t>
  </x:si>
  <x:si>
    <x:t>새가족등록일</x:t>
  </x:si>
  <x:si>
    <x:t>사업목적</x:t>
  </x:si>
  <x:si>
    <x:t>예산합계</x:t>
  </x:si>
  <x:si>
    <x:t>군포중학교</x:t>
  </x:si>
  <x:si>
    <x:t>큰 누나</x:t>
  </x:si>
  <x:si>
    <x:t>복음전도</x:t>
  </x:si>
  <x:si>
    <x:t>P-0003</x:t>
  </x:si>
  <x:si>
    <x:t>민선이네</x:t>
  </x:si>
  <x:si>
    <x:t>생수나눔</x:t>
  </x:si>
  <x:si>
    <x:t>P-0009</x:t>
  </x:si>
  <x:si>
    <x:t>교회방문 이상</x:t>
  </x:si>
  <x:si>
    <x:t>수정 방법</x:t>
  </x:si>
  <x:si>
    <x:t>P-0004</x:t>
  </x:si>
  <x:si>
    <x:t>P-0021</x:t>
  </x:si>
  <x:si>
    <x:t>P-0023</x:t>
  </x:si>
  <x:si>
    <x:t>진행률(%)</x:t>
  </x:si>
  <x:si>
    <x:t>프로젝트상태</x:t>
  </x:si>
  <x:si>
    <x:t>자선봉사단</x:t>
  </x:si>
  <x:si>
    <x:t>P-0016</x:t>
  </x:si>
  <x:si>
    <x:t>P-0005</x:t>
  </x:si>
  <x:si>
    <x:t>P-0022</x:t>
  </x:si>
  <x:si>
    <x:t>P-0010</x:t>
  </x:si>
  <x:si>
    <x:t>P-0025</x:t>
  </x:si>
  <x:si>
    <x:t>문화교육</x:t>
  </x:si>
  <x:si>
    <x:t>수정하지 않음</x:t>
  </x:si>
  <x:si>
    <x:t>P-0006</x:t>
  </x:si>
  <x:si>
    <x:t>P-0015</x:t>
  </x:si>
  <x:si>
    <x:t>자동연동</x:t>
  </x:si>
  <x:si>
    <x:t>P-0019</x:t>
  </x:si>
  <x:si>
    <x:t>고향 친구</x:t>
  </x:si>
  <x:si>
    <x:t>P-0020</x:t>
  </x:si>
  <x:si>
    <x:t>무료급식</x:t>
  </x:si>
  <x:si>
    <x:t>P-0014</x:t>
  </x:si>
  <x:si>
    <x:t>P-0007</x:t>
  </x:si>
  <x:si>
    <x:t>결과/열매</x:t>
  </x:si>
  <x:si>
    <x:t>P-0011</x:t>
  </x:si>
  <x:si>
    <x:t>오픈하우스</x:t>
  </x:si>
  <x:si>
    <x:t>P-0018</x:t>
  </x:si>
  <x:si>
    <x:t>담당부서</x:t>
  </x:si>
  <x:si>
    <x:t>P-0008</x:t>
  </x:si>
  <x:si>
    <x:t>P-0024</x:t>
  </x:si>
  <x:si>
    <x:t>군포중학교 결식아동 무료식사 제공</x:t>
  </x:si>
  <x:si>
    <x:t>예산, 참여인원, 성과, 결과</x:t>
  </x:si>
  <x:si>
    <x:t>군포 지역사회 어르신 무료식사 제공</x:t>
  </x:si>
  <x:si>
    <x:t>사업 시작을 하는데 어려움이 없도록</x:t>
  </x:si>
  <x:si>
    <x:t>통계와 목표를 적용할 기준 연도</x:t>
  </x:si>
  <x:si>
    <x:t>누나의 건강(암)이 회복되기를</x:t>
  </x:si>
  <x:si>
    <x:t>방과후 결식아동 다수로 식사 제공</x:t>
  </x:si>
  <x:si>
    <x:t>전도현황, 연락대상, 단계별 통계</x:t>
  </x:si>
  <x:si>
    <x:t>진행률, 분야별 현황, 성과 집계</x:t>
  </x:si>
  <x:si>
    <x:t>기도중</x:t>
  </x:si>
  <x:si>
    <x:t>친구</x:t>
  </x:si>
  <x:si>
    <x:t>정유진</x:t>
  </x:si>
  <x:si>
    <x:t>새가족</x:t>
  </x:si>
  <x:si>
    <x:t>성별</x:t>
  </x:si>
  <x:si>
    <x:t>김란옥</x:t>
  </x:si>
  <x:si>
    <x:t>김종찬</x:t>
  </x:si>
  <x:si>
    <x:t>김문희</x:t>
  </x:si>
  <x:si>
    <x:t>왕용봉</x:t>
  </x:si>
  <x:si>
    <x:t>박미연</x:t>
  </x:si>
  <x:si>
    <x:t>Y</x:t>
  </x:si>
  <x:si>
    <x:t>여</x:t>
  </x:si>
  <x:si>
    <x:t>송옥섭</x:t>
  </x:si>
  <x:si>
    <x:t>김해선</x:t>
  </x:si>
  <x:si>
    <x:t>남</x:t>
  </x:si>
  <x:si>
    <x:t>성용</x:t>
  </x:si>
  <x:si>
    <x:t>최재용</x:t>
  </x:si>
  <x:si>
    <x:t>담당자</x:t>
  </x:si>
  <x:si>
    <x:t>종료일</x:t>
  </x:si>
  <x:si>
    <x:t>박미옥</x:t>
  </x:si>
  <x:si>
    <x:t>3</x:t>
  </x:si>
  <x:si>
    <x:t>이웃</x:t>
  </x:si>
  <x:si>
    <x:t>자동</x:t>
  </x:si>
  <x:si>
    <x:t>상태</x:t>
  </x:si>
  <x:si>
    <x:t>이름</x:t>
  </x:si>
  <x:si>
    <x:t>예정</x:t>
  </x:si>
  <x:si>
    <x:t>2</x:t>
  </x:si>
  <x:si>
    <x:t>사명</x:t>
  </x:si>
  <x:si>
    <x:t>건강</x:t>
  </x:si>
  <x:si>
    <x:t>초청</x:t>
  </x:si>
  <x:si>
    <x:t>구분</x:t>
  </x:si>
  <x:si>
    <x:t>예산</x:t>
  </x:si>
  <x:si>
    <x:t>4</x:t>
  </x:si>
  <x:si>
    <x:t>비율</x:t>
  </x:si>
  <x:si>
    <x:t>1</x:t>
  </x:si>
  <x:si>
    <x:t>미라클</x:t>
  </x:si>
  <x:si>
    <x:t>5</x:t>
  </x:si>
  <x:si>
    <x:t>송선례</x:t>
  </x:si>
  <x:si>
    <x:t>전체</x:t>
  </x:si>
  <x:si>
    <x:t>항목</x:t>
  </x:si>
  <x:si>
    <x:t>건수</x:t>
  </x:si>
  <x:si>
    <x:t>중단</x:t>
  </x:si>
  <x:si>
    <x:t>지인</x:t>
  </x:si>
  <x:si>
    <x:t>분야</x:t>
  </x:si>
  <x:si>
    <x:t>구원</x:t>
  </x:si>
  <x:si>
    <x:t>소그룹</x:t>
  </x:si>
  <x:si>
    <x:t>비고</x:t>
  </x:si>
  <x:si>
    <x:t>연락처</x:t>
  </x:si>
  <x:si>
    <x:t>인원</x:t>
  </x:si>
  <x:si>
    <x:t>첫만남</x:t>
  </x:si>
  <x:si>
    <x:t>봉사</x:t>
  </x:si>
  <x:si>
    <x:t>가족</x:t>
  </x:si>
  <x:si>
    <x:t>설명</x:t>
  </x:si>
  <x:si>
    <x:t>-</x:t>
  </x:si>
  <x:si>
    <x:t>중지</x:t>
  </x:si>
  <x:si>
    <x:t>청년</x:t>
  </x:si>
  <x:si>
    <x:t>하희정</x:t>
  </x:si>
  <x:si>
    <x:t>이세진</x:t>
  </x:si>
  <x:si>
    <x:t>기도</x:t>
  </x:si>
  <x:si>
    <x:t>관계</x:t>
  </x:si>
  <x:si>
    <x:t>경제</x:t>
  </x:si>
  <x:si>
    <x:t>정의룡</x:t>
  </x:si>
  <x:si>
    <x:t>보류</x:t>
  </x:si>
  <x:si>
    <x:t>교역자</x:t>
  </x:si>
  <x:si>
    <x:t>직장</x:t>
  </x:si>
  <x:si>
    <x:t>장윤주</x:t>
  </x:si>
  <x:si>
    <x:t>박형렬</x:t>
  </x:si>
  <x:si>
    <x:t>접촉</x:t>
  </x:si>
  <x:si>
    <x:t>상담</x:t>
  </x:si>
  <x:si>
    <x:t>기타</x:t>
  </x:si>
  <x:si>
    <x:t>최향옥</x:t>
  </x:si>
  <x:si>
    <x:t>가정</x:t>
  </x:si>
  <x:si>
    <x:t>한명희</x:t>
  </x:si>
  <x:si>
    <x:t>진행중</x:t>
  </x:si>
  <x:si>
    <x:t>전기숙</x:t>
  </x:si>
  <x:si>
    <x:t>사용</x:t>
  </x:si>
  <x:si>
    <x:t>박종훈</x:t>
  </x:si>
  <x:si>
    <x:t>앱버전</x:t>
  </x:si>
  <x:si>
    <x:t>시작일</x:t>
  </x:si>
  <x:si>
    <x:t>값</x:t>
  </x:si>
  <x:si>
    <x:t>목장</x:t>
  </x:si>
  <x:si>
    <x:t>윤정호</x:t>
  </x:si>
  <x:si>
    <x:t>완료</x:t>
  </x:si>
  <x:si>
    <x:t>인도자</x:t>
  </x:si>
  <x:si>
    <x:t>김인일</x:t>
  </x:si>
  <x:si>
    <x:t>변순덕</x:t>
  </x:si>
  <x:si>
    <x:t>방선근</x:t>
  </x:si>
  <x:si>
    <x:t>김충남</x:t>
  </x:si>
  <x:si>
    <x:t>김정화</x:t>
  </x:si>
  <x:si>
    <x:t>이수경</x:t>
  </x:si>
  <x:si>
    <x:t>최주현</x:t>
  </x:si>
  <x:si>
    <x:t>김계화</x:t>
  </x:si>
  <x:si>
    <x:t>사랑</x:t>
  </x:si>
  <x:si>
    <x:t>등록</x:t>
  </x:si>
  <x:si>
    <x:t>사업명</x:t>
  </x:si>
  <x:si>
    <x:t>정다혜</x:t>
  </x:si>
  <x:si>
    <x:t>김옥금</x:t>
  </x:si>
  <x:si>
    <x:t>이정아</x:t>
  </x:si>
  <x:si>
    <x:t>한 영혼의 기도·관계·초청·정착 과정을 관리</x:t>
  </x:si>
  <x:si>
    <x:t>기도대상자는 한 사람당 한 행으로 작성합니다.</x:t>
  </x:si>
  <x:si>
    <x:t>관리번호, 이름, 담당자, 진행상태, 기도제목</x:t>
  </x:si>
  <x:si>
    <x:t>이 시트의 수치는 다른 시트에서 자동 계산됩니다.</x:t>
  </x:si>
  <x:si>
    <x:t>진행상태는 가장 최근 단계 하나만 선택합니다.</x:t>
  </x:si>
  <x:si>
    <x:t>복음전도와 마을돌봄 사역을 사업 단위로 관리</x:t>
  </x:si>
  <x:si>
    <x:t>프로젝트번호, 사업명, 분야, 상태, 담당부서</x:t>
  </x:si>
  <x:si>
    <x:t>예시 자료는 삭제하고 실제 자료로 교체한 뒤 GitHub에 업로드합니다.</x:t>
  </x:si>
  <x:si>
    <x:t>※ 한 사업·행사당 한 행 작성 · 노란색 열은 필수 · 진행률은 0~100%</x:t>
  </x:si>
  <x:si>
    <x:t>※ 한 사람당 한 행 작성 · 노란색 열은 필수 · 날짜는 YYYY-MM-DD 형식</x:t>
  </x:si>
  <x:si>
    <x:t>일만상상 프로젝트는 한 사업·행사당 한 행으로 작성합니다.</x:t>
  </x:si>
  <x:si>
    <x:t>기도대상자관리 및 일만상상프로젝트 시트의 자료를 자동 집계합니다.</x:t>
  </x:si>
  <x:si>
    <x:t>라면 Day_19</x:t>
  </x:si>
  <x:si>
    <x:t>라면 Day_14</x:t>
  </x:si>
  <x:si>
    <x:t>수원역 무료급식_5</x:t>
  </x:si>
  <x:si>
    <x:t>라면 Day_11</x:t>
  </x:si>
  <x:si>
    <x:t>라면 Day_18</x:t>
  </x:si>
  <x:si>
    <x:t>라면 Day_22</x:t>
  </x:si>
  <x:si>
    <x:t>M-2026-061</x:t>
  </x:si>
  <x:si>
    <x:t>생수나눔 봉사_6</x:t>
  </x:si>
  <x:si>
    <x:t>라면 Day_20</x:t>
  </x:si>
  <x:si>
    <x:t>M-2026-056</x:t>
  </x:si>
  <x:si>
    <x:t>라면 Day_29</x:t>
  </x:si>
  <x:si>
    <x:t>라면 Day_27</x:t>
  </x:si>
  <x:si>
    <x:t>라면 Day_30</x:t>
  </x:si>
  <x:si>
    <x:t>M-2026-007</x:t>
  </x:si>
  <x:si>
    <x:t>M-2026-017</x:t>
  </x:si>
  <x:si>
    <x:t>M-2026-048</x:t>
  </x:si>
  <x:si>
    <x:t>수원역 무료급식_7</x:t>
  </x:si>
  <x:si>
    <x:t>M-2026-016</x:t>
  </x:si>
  <x:si>
    <x:t>M-2026-012</x:t>
  </x:si>
  <x:si>
    <x:t>M-2026-051</x:t>
  </x:si>
  <x:si>
    <x:t>M-2026-013</x:t>
  </x:si>
  <x:si>
    <x:t>M-2026-014</x:t>
  </x:si>
  <x:si>
    <x:t>M-2026-041</x:t>
  </x:si>
  <x:si>
    <x:t>M-2026-057</x:t>
  </x:si>
  <x:si>
    <x:t>M-2026-018</x:t>
  </x:si>
  <x:si>
    <x:t>M-2026-020</x:t>
  </x:si>
  <x:si>
    <x:t>M-2026-049</x:t>
  </x:si>
  <x:si>
    <x:t>M-2026-022</x:t>
  </x:si>
  <x:si>
    <x:t>M-2026-046</x:t>
  </x:si>
  <x:si>
    <x:t>M-2026-011</x:t>
  </x:si>
  <x:si>
    <x:t>M-2026-019</x:t>
  </x:si>
  <x:si>
    <x:t>M-2026-034</x:t>
  </x:si>
  <x:si>
    <x:t>수원역 무료급식_8</x:t>
  </x:si>
  <x:si>
    <x:t>M-2026-026</x:t>
  </x:si>
  <x:si>
    <x:t>M-2026-033</x:t>
  </x:si>
  <x:si>
    <x:t>M-2026-030</x:t>
  </x:si>
  <x:si>
    <x:t>연계된 기도대상자</x:t>
  </x:si>
  <x:si>
    <x:t>M-2026-028</x:t>
  </x:si>
  <x:si>
    <x:t>M-2026-009</x:t>
  </x:si>
  <x:si>
    <x:t>M-2026-059</x:t>
  </x:si>
  <x:si>
    <x:t>M-2026-035</x:t>
  </x:si>
  <x:si>
    <x:t>M-2026-021</x:t>
  </x:si>
  <x:si>
    <x:t>수원역 무료급식_9</x:t>
  </x:si>
  <x:si>
    <x:t>전체 기도대상자</x:t>
  </x:si>
  <x:si>
    <x:t>M-2026-032</x:t>
  </x:si>
  <x:si>
    <x:t>라면 Day_21</x:t>
  </x:si>
  <x:si>
    <x:t>군포지역 지역사회</x:t>
  </x:si>
  <x:si>
    <x:t>수원역 무료급식_10</x:t>
  </x:si>
  <x:si>
    <x:t>M-2026-029</x:t>
  </x:si>
  <x:si>
    <x:t>라면 Day _13</x:t>
  </x:si>
  <x:si>
    <x:t>라면 Day_15</x:t>
  </x:si>
  <x:si>
    <x:t>M-2026-045</x:t>
  </x:si>
  <x:si>
    <x:t>라면 Day_12</x:t>
  </x:si>
  <x:si>
    <x:t>M-2026-005</x:t>
  </x:si>
  <x:si>
    <x:t>M-2026-031</x:t>
  </x:si>
  <x:si>
    <x:t>라면 Day_16</x:t>
  </x:si>
  <x:si>
    <x:t>M-2026-036</x:t>
  </x:si>
  <x:si>
    <x:t>M-2026-025</x:t>
  </x:si>
  <x:si>
    <x:t>M-2026-023</x:t>
  </x:si>
  <x:si>
    <x:t>M-2026-024</x:t>
  </x:si>
  <x:si>
    <x:t>M-2026-027</x:t>
  </x:si>
  <x:si>
    <x:t>M-2026-004</x:t>
  </x:si>
  <x:si>
    <x:t>연간영혼구원목표</x:t>
  </x:si>
  <x:si>
    <x:t>소속부서/소그룹</x:t>
  </x:si>
  <x:si>
    <x:t>직접 입력 없음</x:t>
  </x:si>
  <x:si>
    <x:t>업무를 통한 관계형성</x:t>
  </x:si>
  <x:si>
    <x:t>일만상상 프로젝트</x:t>
  </x:si>
  <x:si>
    <x:t>대상지역/대상자</x:t>
  </x:si>
  <x:si>
    <x:t>값 열의 숫자만 수정</x:t>
  </x:si>
  <x:si>
    <x:t>M-2026-002</x:t>
  </x:si>
  <x:si>
    <x:t>라면 Day_25</x:t>
  </x:si>
  <x:si>
    <x:t>GESMS 환경설정</x:t>
  </x:si>
  <x:si>
    <x:t>수원역 무료급식_11</x:t>
  </x:si>
  <x:si>
    <x:t>이번 주 연락대상</x:t>
  </x:si>
  <x:si>
    <x:t>진행중 프로젝트</x:t>
  </x:si>
  <x:si>
    <x:t>일만상상프로젝트</x:t>
  </x:si>
  <x:si>
    <x:t>라면 Day_23</x:t>
  </x:si>
  <x:si>
    <x:t>수원역 인근 노숙인</x:t>
  </x:si>
  <x:si>
    <x:t>라면 Day_24</x:t>
  </x:si>
  <x:si>
    <x:t>2026-08-01</x:t>
  </x:si>
  <x:si>
    <x:t>M-2026-003</x:t>
  </x:si>
  <x:si>
    <x:t>라면 Day_26</x:t>
  </x:si>
  <x:si>
    <x:t>연간 출석 목표 인원</x:t>
  </x:si>
  <x:si>
    <x:t>M-2026-001</x:t>
  </x:si>
  <x:si>
    <x:t>연도 네 자리 입력</x:t>
  </x:si>
  <x:si>
    <x:t>M-2026-044</x:t>
  </x:si>
  <x:si>
    <x:t>M-2026-037</x:t>
  </x:si>
  <x:si>
    <x:t>M-2026-053</x:t>
  </x:si>
  <x:si>
    <x:t>M-2026-040</x:t>
  </x:si>
  <x:si>
    <x:t>M-2026-058</x:t>
  </x:si>
  <x:si>
    <x:t>M-2026-039</x:t>
  </x:si>
  <x:si>
    <x:t>M-2026-043</x:t>
  </x:si>
  <x:si>
    <x:t>라면 Day_17</x:t>
  </x:si>
  <x:si>
    <x:t>라면 Day_28</x:t>
  </x:si>
  <x:si>
    <x:t>M-2026-060</x:t>
  </x:si>
  <x:si>
    <x:t>M-2026-008</x:t>
  </x:si>
  <x:si>
    <x:t>M-2026-015</x:t>
  </x:si>
  <x:si>
    <x:t>M-2026-038</x:t>
  </x:si>
  <x:si>
    <x:t>M-2026-006</x:t>
  </x:si>
  <x:si>
    <x:t>M-2026-055</x:t>
  </x:si>
  <x:si>
    <x:t>M-2026-050</x:t>
  </x:si>
  <x:si>
    <x:t>M-2026-042</x:t>
  </x:si>
  <x:si>
    <x:t>수원역 무료급식_12</x:t>
  </x:si>
  <x:si>
    <x:t>M-2026-047</x:t>
  </x:si>
  <x:si>
    <x:t>라면 Day_10</x:t>
  </x:si>
  <x:si>
    <x:t>M-2026-054</x:t>
  </x:si>
  <x:si>
    <x:t>M-2026-010</x:t>
  </x:si>
  <x:si>
    <x:t>M-2026-052</x:t>
  </x:si>
  <x:si>
    <x:t>GESMS V10.0 전도·영혼구원 표준자료 입력 양식</x:t>
  </x:si>
  <x:si>
    <x:t>다음연락일은 실제 연락 계획이 있을 때 입력합니다.</x:t>
  </x:si>
  <x:si>
    <x:t>P-0012</x:t>
  </x:si>
  <x:si>
    <x:t>P-0017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</x:si>
</x:sst>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8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Malgun Gothic"/>
      <x:sz val="10"/>
      <x:color rgb="ff000000"/>
    </x:font>
    <x:font>
      <x:name val="Malgun Gothic"/>
      <x:sz val="10"/>
      <x:color rgb="ff163a5f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fff7df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c1e5f5"/>
        <x:bgColor rgb="ffc1e5f5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47b1e0"/>
      </x:top>
      <x:bottom style="thin">
        <x:color rgb="ff47b1e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1">
      <x:alignment horizontal="general" vertical="center"/>
    </x:xf>
    <x:xf numFmtId="0" fontId="0" fillId="0" borderId="0" xfId="1">
      <x:alignment horizontal="general" vertical="center"/>
    </x:xf>
    <x:xf numFmtId="0" fontId="0" fillId="0" borderId="0" xfId="2" applyNumberFormat="1">
      <x:alignment horizontal="general" vertical="bottom"/>
    </x:xf>
    <x:xf numFmtId="0" fontId="6" fillId="0" borderId="0" xfId="2" applyNumberFormat="1" applyFont="1" applyFill="1" applyBorder="1">
      <x:alignment horizontal="general" vertical="bottom"/>
    </x:xf>
    <x:xf numFmtId="0" fontId="6" fillId="0" borderId="0" xfId="2" applyNumberFormat="1" applyFont="1" applyFill="1" applyBorder="1" applyAlignment="1">
      <x:alignment horizontal="general" vertical="top" wrapText="1"/>
    </x:xf>
    <x:xf numFmtId="0" fontId="6" fillId="0" borderId="0" xfId="2" applyNumberFormat="1" applyFont="1" applyFill="1" applyBorder="1" applyAlignment="1">
      <x:alignment horizontal="general" vertical="bottom" wrapText="1"/>
    </x:xf>
    <x:xf numFmtId="0" fontId="6" fillId="2" borderId="0" xfId="2" applyNumberFormat="1" applyFont="1" applyFill="1" applyBorder="1" applyAlignment="1">
      <x:alignment horizontal="general" vertical="bottom" wrapText="1"/>
    </x:xf>
    <x:xf numFmtId="0" fontId="6" fillId="2" borderId="0" xfId="2" applyNumberFormat="1" applyFont="1" applyFill="1" applyBorder="1">
      <x:alignment horizontal="general" vertical="bottom"/>
    </x:xf>
    <x:xf numFmtId="164" fontId="6" fillId="0" borderId="0" xfId="2" applyNumberFormat="1" applyFont="1" applyFill="1" applyBorder="1">
      <x:alignment horizontal="general" vertical="bottom"/>
    </x:xf>
    <x:xf numFmtId="3" fontId="6" fillId="0" borderId="0" xfId="2" applyNumberFormat="1" applyFont="1" applyFill="1" applyBorder="1">
      <x:alignment horizontal="general" vertical="bottom"/>
    </x:xf>
    <x:xf numFmtId="9" fontId="6" fillId="0" borderId="0" xfId="2" applyNumberFormat="1" applyFont="1" applyFill="1" applyBorder="1">
      <x:alignment horizontal="general" vertical="bottom"/>
    </x:xf>
    <x:xf numFmtId="0" fontId="6" fillId="2" borderId="1" xfId="2" applyNumberFormat="1" applyFont="1" applyFill="1" applyBorder="1">
      <x:alignment horizontal="general" vertical="bottom"/>
    </x:xf>
    <x:xf numFmtId="0" fontId="6" fillId="2" borderId="1" xfId="2" applyNumberFormat="1" applyFont="1" applyFill="1" applyBorder="1" applyAlignment="1">
      <x:alignment horizontal="general" vertical="bottom" wrapText="1"/>
    </x:xf>
    <x:xf numFmtId="0" fontId="0" fillId="0" borderId="0" xfId="2">
      <x:alignment horizontal="general" vertical="bottom"/>
    </x:xf>
    <x:xf numFmtId="0" fontId="0" fillId="0" borderId="0" xfId="2" applyNumberFormat="1" applyFont="1" applyFill="1" applyAlignment="1">
      <x:alignment horizontal="general" vertical="center" wrapText="1"/>
    </x:xf>
    <x:xf numFmtId="0" fontId="0" fillId="0" borderId="0" xfId="2" applyNumberFormat="1" applyFont="1" applyFill="1" applyAlignment="1">
      <x:alignment horizontal="general" vertical="center" wrapText="1"/>
    </x:xf>
    <x:xf numFmtId="0" fontId="6" fillId="0" borderId="1" xfId="2" applyNumberFormat="1" applyFont="1" applyFill="1" applyBorder="1">
      <x:alignment horizontal="general" vertical="bottom"/>
    </x:xf>
    <x:xf numFmtId="3" fontId="6" fillId="0" borderId="1" xfId="2" applyNumberFormat="1" applyFont="1" applyFill="1" applyBorder="1">
      <x:alignment horizontal="general" vertical="bottom"/>
    </x:xf>
    <x:xf numFmtId="0" fontId="6" fillId="3" borderId="1" xfId="2" applyNumberFormat="1" applyFont="1" applyFill="1" applyBorder="1">
      <x:alignment horizontal="general" vertical="bottom"/>
    </x:xf>
    <x:xf numFmtId="0" fontId="7" fillId="2" borderId="0" xfId="2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Alignment="1">
          <x:alignment horizontal="center" vertical="bottom"/>
        </x:xf>
      </mc:Fallback>
    </mc:AlternateContent>
    <x:xf numFmtId="0" fontId="6" fillId="2" borderId="0" xfId="2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0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4" borderId="1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4" borderId="1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2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2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center"/>
    </x:xf>
  </x:cellXfs>
  <x:cellStyles count="3">
    <x:cellStyle name="표준" xfId="0" builtinId="0" iLevel="0"/>
    <x:cellStyle name="표준" xfId="1"/>
    <x:cellStyle name="Normal" xfId="2"/>
  </x:cellStyles>
  <x:dxfs count="17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23a48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fbeaec"/>
            </x:patternFill>
          </x:fill>
        </x:dxf>
      </mc:Choice>
      <mc:Fallback>
        <x:dxf>
          <x:font>
            <x:color rgb="ffb23a48"/>
            <x:b val="1"/>
          </x:font>
          <x:fill>
            <x:patternFill patternType="solid">
              <x:bgColor rgb="fffbeae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e7d32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eaf5ea"/>
            </x:patternFill>
          </x:fill>
        </x:dxf>
      </mc:Choice>
      <mc:Fallback>
        <x:dxf>
          <x:font>
            <x:color rgb="ff2e7d32"/>
            <x:b val="1"/>
          </x:font>
          <x:fill>
            <x:patternFill patternType="solid">
              <x:bgColor rgb="ffeaf5ea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6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전도단계별 인원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인원</c:v>
          </c:tx>
          <c:invertIfNegative val="0"/>
          <c:cat>
            <c:strRef>
              <c:f>전도현황!$A$11:$A$18</c:f>
              <c:strCache>
                <c:ptCount val="8"/>
                <c:pt idx="0">
                  <c:v>기도중</c:v>
                </c:pt>
                <c:pt idx="1">
                  <c:v>관계형성</c:v>
                </c:pt>
                <c:pt idx="2">
                  <c:v>첫만남</c:v>
                </c:pt>
                <c:pt idx="3">
                  <c:v>초청</c:v>
                </c:pt>
                <c:pt idx="4">
                  <c:v>교회방문</c:v>
                </c:pt>
                <c:pt idx="5">
                  <c:v>새가족</c:v>
                </c:pt>
                <c:pt idx="6">
                  <c:v>등록교인</c:v>
                </c:pt>
                <c:pt idx="7">
                  <c:v>군우편입</c:v>
                </c:pt>
              </c:strCache>
            </c:strRef>
          </c:cat>
          <c:val>
            <c:numRef>
              <c:f>전도현황!$B$11:$B$18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일만상상 프로젝트 상태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invertIfNegative val="0"/>
          <c:cat>
            <c:strRef>
              <c:f>전도현황!$E$11:$E$14</c:f>
              <c:strCache>
                <c:ptCount val="4"/>
                <c:pt idx="0">
                  <c:v>예정</c:v>
                </c:pt>
                <c:pt idx="1">
                  <c:v>진행중</c:v>
                </c:pt>
                <c:pt idx="2">
                  <c:v>완료</c:v>
                </c:pt>
                <c:pt idx="3">
                  <c:v>보류</c:v>
                </c:pt>
              </c:strCache>
            </c:strRef>
          </c:cat>
          <c:val>
            <c:numRef>
              <c:f>전도현황!$F$11:$F$14</c:f>
              <c:numCache>
                <c:formatCode>General</c:formatCode>
                <c:ptCount val="4"/>
                <c:pt idx="0">
                  <c:v>57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chart" Target="../charts/chart6.xml"  /><Relationship Id="rId2" Type="http://schemas.openxmlformats.org/officeDocument/2006/relationships/chart" Target="../charts/chart7.xml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fPublished="0">
      <xdr:nvGraphicFramePr>
        <xdr:cNvPr id="1" name="Chart"/>
        <xdr:cNvGraphicFramePr/>
      </xdr:nvGraphicFramePr>
      <xdr:xfrm>
        <a:off x="11734800" y="2314575"/>
        <a:ext cx="8420100" cy="3857625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  <xdr:twoCellAnchor>
    <xdr:from>
      <xdr:col>8</xdr:col>
      <xdr:colOff>0</xdr:colOff>
      <xdr:row>24</xdr:row>
      <xdr:rowOff>0</xdr:rowOff>
    </xdr:from>
    <xdr:to>
      <xdr:col>16</xdr:col>
      <xdr:colOff>0</xdr:colOff>
      <xdr:row>38</xdr:row>
      <xdr:rowOff>0</xdr:rowOff>
    </xdr:to>
    <xdr:graphicFrame fPublished="0">
      <xdr:nvGraphicFramePr>
        <xdr:cNvPr id="2" name="Chart"/>
        <xdr:cNvGraphicFramePr/>
      </xdr:nvGraphicFramePr>
      <xdr:xfrm>
        <a:off x="11734800" y="6172200"/>
        <a:ext cx="8420100" cy="3600450"/>
      </xdr:xfrm>
      <a:graphic>
        <a:graphicData uri="http://schemas.openxmlformats.org/drawingml/2006/chart">
          <c:chart r:id="rId2"/>
        </a:graphicData>
      </a:graphic>
    </xdr:graphicFrame>
    <xdr:clientData fLocksWithSheet="1" fPrintsWithSheet="1"/>
  </xdr:twoCellAnchor>
</xdr:wsDr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PrayerTargetsTable" displayName="PrayerTargetsTable" ref="A4:AD201">
  <x:tableColumns count="30">
    <x:tableColumn id="1" name="관리번호"/>
    <x:tableColumn id="2" name="이름"/>
    <x:tableColumn id="3" name="성별"/>
    <x:tableColumn id="4" name="연락처"/>
    <x:tableColumn id="5" name="관계구분"/>
    <x:tableColumn id="6" name="관계상세"/>
    <x:tableColumn id="7" name="인도자"/>
    <x:tableColumn id="8" name="소속부서/소그룹" dataDxfId="12"/>
    <x:tableColumn id="9" name="기도제목구분" dataDxfId="13"/>
    <x:tableColumn id="10" name="기도제목상세"/>
    <x:tableColumn id="11" name="기도시작일"/>
    <x:tableColumn id="12" name="진행상태"/>
    <x:tableColumn id="13" name="기도중"/>
    <x:tableColumn id="14" name="관계형성"/>
    <x:tableColumn id="15" name="첫만남"/>
    <x:tableColumn id="16" name="초청"/>
    <x:tableColumn id="17" name="교회방문"/>
    <x:tableColumn id="18" name="새가족"/>
    <x:tableColumn id="19" name="등록교인"/>
    <x:tableColumn id="20" name="군우편입"/>
    <x:tableColumn id="21" name="최근만남일"/>
    <x:tableColumn id="22" name="다음연락일"/>
    <x:tableColumn id="23" name="교회방문일"/>
    <x:tableColumn id="24" name="새가족등록일"/>
    <x:tableColumn id="25" name="등록교인일"/>
    <x:tableColumn id="26" name="군우편입일"/>
    <x:tableColumn id="27" name="기도응답일"/>
    <x:tableColumn id="28" name="공개범위"/>
    <x:tableColumn id="29" name="비고"/>
    <x:tableColumn id="30" name="사용여부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MissionProjectsTable" displayName="MissionProjectsTable" ref="A4:V245">
  <x:tableColumns count="22">
    <x:tableColumn id="1" name="프로젝트번호"/>
    <x:tableColumn id="2" name="사업명"/>
    <x:tableColumn id="3" name="분야"/>
    <x:tableColumn id="4" name="사업목적"/>
    <x:tableColumn id="5" name="대상지역/대상자"/>
    <x:tableColumn id="6" name="담당부서"/>
    <x:tableColumn id="7" name="담당자"/>
    <x:tableColumn id="8" name="시작일"/>
    <x:tableColumn id="9" name="종료일"/>
    <x:tableColumn id="10" name="상태"/>
    <x:tableColumn id="11" name="예산"/>
    <x:tableColumn id="12" name="실제지출"/>
    <x:tableColumn id="13" name="참여인원"/>
    <x:tableColumn id="14" name="수혜인원"/>
    <x:tableColumn id="15" name="진행률(%)"/>
    <x:tableColumn id="16" name="핵심활동"/>
    <x:tableColumn id="17" name="성과구분"/>
    <x:tableColumn id="18" name="성과수량"/>
    <x:tableColumn id="19" name="연계된 기도대상자"/>
    <x:tableColumn id="20" name="결과/열매"/>
    <x:tableColumn id="21" name="사진·자료링크"/>
    <x:tableColumn id="22" name="비고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Z220"/>
  <x:sheetViews>
    <x:sheetView topLeftCell="A1" zoomScaleNormal="100" zoomScaleSheetLayoutView="75" workbookViewId="0">
      <x:selection activeCell="B33" activeCellId="0" sqref="B33:B33"/>
    </x:sheetView>
  </x:sheetViews>
  <x:sheetFormatPr defaultColWidth="8.72265625" defaultRowHeight="13.550000000000001"/>
  <x:cols>
    <x:col min="1" max="1" width="14" style="4" customWidth="1"/>
    <x:col min="2" max="2" width="20" style="4" customWidth="1"/>
    <x:col min="3" max="3" width="28" style="4" customWidth="1"/>
    <x:col min="4" max="4" width="26" style="4" customWidth="1"/>
    <x:col min="5" max="5" width="25" style="4" customWidth="1"/>
    <x:col min="6" max="6" width="28" style="4" customWidth="1"/>
    <x:col min="7" max="7" width="14" style="4" customWidth="1"/>
    <x:col min="8" max="8" width="32" style="4" customWidth="1"/>
  </x:cols>
  <x:sheetData>
    <x:row r="1" spans="1:52">
      <x:c r="A1" s="40" t="s">
        <x:v>370</x:v>
      </x:c>
      <x:c r="B1" s="40"/>
      <x:c r="C1" s="40"/>
      <x:c r="D1" s="40"/>
      <x:c r="E1" s="40"/>
      <x:c r="F1" s="40"/>
      <x:c r="G1" s="40"/>
      <x:c r="H1" s="40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</x:row>
    <x:row r="2" spans="1:52">
      <x:c r="A2" s="40"/>
      <x:c r="B2" s="40"/>
      <x:c r="C2" s="40"/>
      <x:c r="D2" s="40"/>
      <x:c r="E2" s="40"/>
      <x:c r="F2" s="40"/>
      <x:c r="G2" s="40"/>
      <x:c r="H2" s="40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</x:row>
    <x:row r="3" spans="1:52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</x:row>
    <x:row r="4" spans="1:52">
      <x:c r="A4" s="6" t="s">
        <x:v>182</x:v>
      </x:c>
      <x:c r="B4" s="6" t="s">
        <x:v>52</x:v>
      </x:c>
      <x:c r="C4" s="6" t="s">
        <x:v>53</x:v>
      </x:c>
      <x:c r="D4" s="6" t="s">
        <x:v>58</x:v>
      </x:c>
      <x:c r="E4" s="6" t="s">
        <x:v>49</x:v>
      </x:c>
      <x:c r="F4" s="6" t="s">
        <x:v>54</x:v>
      </x:c>
      <x:c r="G4" s="6" t="s">
        <x:v>90</x:v>
      </x:c>
      <x:c r="H4" s="6" t="s">
        <x:v>57</x:v>
      </x:c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</x:row>
    <x:row r="5" spans="1:52" ht="26.350000000000001">
      <x:c r="A5" s="7" t="s">
        <x:v>75</x:v>
      </x:c>
      <x:c r="B5" s="7" t="s">
        <x:v>75</x:v>
      </x:c>
      <x:c r="C5" s="7" t="s">
        <x:v>46</x:v>
      </x:c>
      <x:c r="D5" s="7" t="s">
        <x:v>326</x:v>
      </x:c>
      <x:c r="E5" s="7" t="s">
        <x:v>205</x:v>
      </x:c>
      <x:c r="F5" s="7" t="s">
        <x:v>41</x:v>
      </x:c>
      <x:c r="G5" s="7" t="s">
        <x:v>174</x:v>
      </x:c>
      <x:c r="H5" s="7" t="s">
        <x:v>253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</x:row>
    <x:row r="6" spans="1:52" ht="26.350000000000001">
      <x:c r="A6" s="7" t="s">
        <x:v>76</x:v>
      </x:c>
      <x:c r="B6" s="7" t="s">
        <x:v>76</x:v>
      </x:c>
      <x:c r="C6" s="7" t="s">
        <x:v>250</x:v>
      </x:c>
      <x:c r="D6" s="7" t="s">
        <x:v>252</x:v>
      </x:c>
      <x:c r="E6" s="7" t="s">
        <x:v>45</x:v>
      </x:c>
      <x:c r="F6" s="7" t="s">
        <x:v>150</x:v>
      </x:c>
      <x:c r="G6" s="7" t="s">
        <x:v>48</x:v>
      </x:c>
      <x:c r="H6" s="7" t="s">
        <x:v>43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</x:row>
    <x:row r="7" spans="1:52" ht="26.350000000000001">
      <x:c r="A7" s="7" t="s">
        <x:v>328</x:v>
      </x:c>
      <x:c r="B7" s="7" t="s">
        <x:v>337</x:v>
      </x:c>
      <x:c r="C7" s="7" t="s">
        <x:v>255</x:v>
      </x:c>
      <x:c r="D7" s="7" t="s">
        <x:v>256</x:v>
      </x:c>
      <x:c r="E7" s="7" t="s">
        <x:v>144</x:v>
      </x:c>
      <x:c r="F7" s="7" t="s">
        <x:v>151</x:v>
      </x:c>
      <x:c r="G7" s="7" t="s">
        <x:v>77</x:v>
      </x:c>
      <x:c r="H7" s="7" t="s">
        <x:v>40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</x:row>
    <x:row r="8" spans="1:52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</x:row>
    <x:row r="9" spans="1:52">
      <x:c r="A9" s="40" t="s">
        <x:v>79</x:v>
      </x:c>
      <x:c r="B9" s="40"/>
      <x:c r="C9" s="40"/>
      <x:c r="D9" s="40"/>
      <x:c r="E9" s="40"/>
      <x:c r="F9" s="40"/>
      <x:c r="G9" s="40"/>
      <x:c r="H9" s="40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</x:row>
    <x:row r="10" spans="1:52">
      <x:c r="A10" s="8" t="s">
        <x:v>186</x:v>
      </x:c>
      <x:c r="B10" s="9" t="s">
        <x:v>251</x:v>
      </x:c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</x:row>
    <x:row r="11" spans="1:52">
      <x:c r="A11" s="8" t="s">
        <x:v>178</x:v>
      </x:c>
      <x:c r="B11" s="9" t="s">
        <x:v>254</x:v>
      </x:c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</x:row>
    <x:row r="12" spans="1:52">
      <x:c r="A12" s="8" t="s">
        <x:v>172</x:v>
      </x:c>
      <x:c r="B12" s="9" t="s">
        <x:v>371</x:v>
      </x:c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</x:row>
    <x:row r="13" spans="1:52">
      <x:c r="A13" s="8" t="s">
        <x:v>184</x:v>
      </x:c>
      <x:c r="B13" s="9" t="s">
        <x:v>260</x:v>
      </x:c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</x:row>
    <x:row r="14" spans="1:52">
      <x:c r="A14" s="8" t="s">
        <x:v>188</x:v>
      </x:c>
      <x:c r="B14" s="9" t="s">
        <x:v>257</x:v>
      </x:c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</x:row>
    <x:row r="15" spans="1:52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</x:row>
    <x:row r="16" spans="1:52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</x:row>
    <x:row r="17" spans="1:52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</x:row>
    <x:row r="18" spans="1:52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</x:row>
    <x:row r="19" spans="1:52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</x:row>
    <x:row r="20" spans="1:52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</x:row>
    <x:row r="21" spans="1:52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</x:row>
    <x:row r="22" spans="1:5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</x:row>
    <x:row r="23" spans="1:52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</x:row>
    <x:row r="24" spans="1:52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</x:row>
    <x:row r="25" spans="1:52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</x:row>
    <x:row r="26" spans="1:52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</x:row>
    <x:row r="27" spans="1:52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</x:row>
    <x:row r="28" spans="1:52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</x:row>
    <x:row r="29" spans="1:52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</x:row>
    <x:row r="30" spans="1:52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</x:row>
    <x:row r="31" spans="1:52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</x:row>
    <x:row r="32" spans="1:5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</x:row>
    <x:row r="33" spans="1:52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</x:row>
    <x:row r="34" spans="1:52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</x:row>
    <x:row r="35" spans="1:52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</x:row>
    <x:row r="36" spans="1:52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</x:row>
    <x:row r="37" spans="1:52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</x:row>
    <x:row r="38" spans="1:52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</x:row>
    <x:row r="39" spans="1:52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</x:row>
    <x:row r="40" spans="1:52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</x:row>
    <x:row r="41" spans="1:52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</x:row>
    <x:row r="42" spans="1:5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</x:row>
    <x:row r="43" spans="1:52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</x:row>
    <x:row r="44" spans="1:52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</x:row>
    <x:row r="45" spans="1:52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</x:row>
    <x:row r="46" spans="1:52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</x:row>
    <x:row r="47" spans="1:52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</x:row>
    <x:row r="48" spans="1:52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</x:row>
    <x:row r="49" spans="1:52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</x:row>
    <x:row r="50" spans="1:52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</x:row>
    <x:row r="51" spans="1:52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</x:row>
    <x:row r="52" spans="1: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</x:row>
    <x:row r="53" spans="1:52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</x:row>
    <x:row r="54" spans="1:52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</x:row>
    <x:row r="55" spans="1:52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</x:row>
    <x:row r="56" spans="1:52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</x:row>
    <x:row r="57" spans="1:52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</x:row>
    <x:row r="58" spans="1:52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</x:row>
    <x:row r="59" spans="1:52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</x:row>
    <x:row r="60" spans="1:52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</x:row>
    <x:row r="61" spans="1:52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</x:row>
    <x:row r="62" spans="1:5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</x:row>
    <x:row r="63" spans="1:52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</x:row>
    <x:row r="64" spans="1:52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</x:row>
    <x:row r="65" spans="1:52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</x:row>
    <x:row r="66" spans="1:52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</x:row>
    <x:row r="67" spans="1:52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</x:row>
    <x:row r="68" spans="1:52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</x:row>
    <x:row r="69" spans="1:52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</x:row>
    <x:row r="70" spans="1:52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</x:row>
    <x:row r="71" spans="1:52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</x:row>
    <x:row r="72" spans="1:5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</x:row>
    <x:row r="73" spans="1:52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</x:row>
    <x:row r="74" spans="1:52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</x:row>
    <x:row r="75" spans="1:52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</x:row>
    <x:row r="76" spans="1:52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/>
      <x:c r="AS76" s="5"/>
      <x:c r="AT76" s="5"/>
      <x:c r="AU76" s="5"/>
      <x:c r="AV76" s="5"/>
      <x:c r="AW76" s="5"/>
      <x:c r="AX76" s="5"/>
      <x:c r="AY76" s="5"/>
      <x:c r="AZ76" s="5"/>
    </x:row>
    <x:row r="77" spans="1:52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</x:row>
    <x:row r="78" spans="1:52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</x:row>
    <x:row r="79" spans="1:52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</x:row>
    <x:row r="80" spans="1:52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  <x:c r="AQ80" s="5"/>
      <x:c r="AR80" s="5"/>
      <x:c r="AS80" s="5"/>
      <x:c r="AT80" s="5"/>
      <x:c r="AU80" s="5"/>
      <x:c r="AV80" s="5"/>
      <x:c r="AW80" s="5"/>
      <x:c r="AX80" s="5"/>
      <x:c r="AY80" s="5"/>
      <x:c r="AZ80" s="5"/>
    </x:row>
    <x:row r="81" spans="1:52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/>
    </x:row>
    <x:row r="82" spans="1:5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</x:row>
    <x:row r="83" spans="1:52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  <x:c r="AQ83" s="5"/>
      <x:c r="AR83" s="5"/>
      <x:c r="AS83" s="5"/>
      <x:c r="AT83" s="5"/>
      <x:c r="AU83" s="5"/>
      <x:c r="AV83" s="5"/>
      <x:c r="AW83" s="5"/>
      <x:c r="AX83" s="5"/>
      <x:c r="AY83" s="5"/>
      <x:c r="AZ83" s="5"/>
    </x:row>
    <x:row r="84" spans="1:52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</x:row>
    <x:row r="85" spans="1:52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</x:row>
    <x:row r="86" spans="1:52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</x:row>
    <x:row r="87" spans="1:52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</x:row>
    <x:row r="88" spans="1:52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</x:row>
    <x:row r="89" spans="1:52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</x:row>
    <x:row r="90" spans="1:52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</x:row>
    <x:row r="91" spans="1:52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</x:row>
    <x:row r="92" spans="1:5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</x:row>
    <x:row r="93" spans="1:52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</x:row>
    <x:row r="94" spans="1:52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</x:row>
    <x:row r="95" spans="1:52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</x:row>
    <x:row r="96" spans="1:52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</x:row>
    <x:row r="97" spans="1:52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</x:row>
    <x:row r="98" spans="1:52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</x:row>
    <x:row r="99" spans="1:52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</x:row>
    <x:row r="100" spans="1:52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</x:row>
    <x:row r="101" spans="1:52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</x:row>
    <x:row r="102" spans="1:5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</x:row>
    <x:row r="103" spans="1:52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</x:row>
    <x:row r="104" spans="1:52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</x:row>
    <x:row r="105" spans="1:52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</x:row>
    <x:row r="106" spans="1:52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</x:row>
    <x:row r="107" spans="1:52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</x:row>
    <x:row r="108" spans="1:52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</x:row>
    <x:row r="109" spans="1:52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</x:row>
    <x:row r="110" spans="1:52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</x:row>
    <x:row r="111" spans="1:52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</x:row>
    <x:row r="112" spans="1:5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</x:row>
    <x:row r="113" spans="1:52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</x:row>
    <x:row r="114" spans="1:52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</x:row>
    <x:row r="115" spans="1:52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</x:row>
    <x:row r="116" spans="1:52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</x:row>
    <x:row r="117" spans="1:52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</x:row>
    <x:row r="118" spans="1:52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</x:row>
    <x:row r="119" spans="1:52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</x:row>
    <x:row r="120" spans="1:52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</x:row>
    <x:row r="121" spans="1:52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</x:row>
    <x:row r="122" spans="1:5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</x:row>
    <x:row r="123" spans="1:52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</x:row>
    <x:row r="124" spans="1:52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</x:row>
    <x:row r="125" spans="1:52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</x:row>
    <x:row r="126" spans="1:52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</x:row>
    <x:row r="127" spans="1:52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</x:row>
    <x:row r="128" spans="1:52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</x:row>
    <x:row r="129" spans="1:52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</x:row>
    <x:row r="130" spans="1:52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</x:row>
    <x:row r="131" spans="1:52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</x:row>
    <x:row r="132" spans="1:5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</x:row>
    <x:row r="133" spans="1:52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</x:row>
    <x:row r="134" spans="1:52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</x:row>
    <x:row r="135" spans="1:52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</x:row>
    <x:row r="136" spans="1:52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</x:row>
    <x:row r="137" spans="1:52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</x:row>
    <x:row r="138" spans="1:52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</x:row>
    <x:row r="139" spans="1:52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</x:row>
    <x:row r="140" spans="1:52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</x:row>
    <x:row r="141" spans="1:52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</x:row>
    <x:row r="142" spans="1:5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</x:row>
    <x:row r="143" spans="1:52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</x:row>
    <x:row r="144" spans="1:52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  <x:c r="AQ144" s="5"/>
      <x:c r="AR144" s="5"/>
      <x:c r="AS144" s="5"/>
      <x:c r="AT144" s="5"/>
      <x:c r="AU144" s="5"/>
      <x:c r="AV144" s="5"/>
      <x:c r="AW144" s="5"/>
      <x:c r="AX144" s="5"/>
      <x:c r="AY144" s="5"/>
      <x:c r="AZ144" s="5"/>
    </x:row>
    <x:row r="145" spans="1:52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</x:row>
    <x:row r="146" spans="1:52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</x:row>
    <x:row r="147" spans="1:52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</x:row>
    <x:row r="148" spans="1:52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</x:row>
    <x:row r="149" spans="1:52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</x:row>
    <x:row r="150" spans="1:52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</x:row>
    <x:row r="151" spans="1:52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</x:row>
    <x:row r="152" spans="1: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  <x:c r="AQ152" s="5"/>
      <x:c r="AR152" s="5"/>
      <x:c r="AS152" s="5"/>
      <x:c r="AT152" s="5"/>
      <x:c r="AU152" s="5"/>
      <x:c r="AV152" s="5"/>
      <x:c r="AW152" s="5"/>
      <x:c r="AX152" s="5"/>
      <x:c r="AY152" s="5"/>
      <x:c r="AZ152" s="5"/>
    </x:row>
    <x:row r="153" spans="1:52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</x:row>
    <x:row r="154" spans="1:52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</x:row>
    <x:row r="155" spans="1:52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</x:row>
    <x:row r="156" spans="1:52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</x:row>
    <x:row r="157" spans="1:52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  <x:c r="AQ157" s="5"/>
      <x:c r="AR157" s="5"/>
      <x:c r="AS157" s="5"/>
      <x:c r="AT157" s="5"/>
      <x:c r="AU157" s="5"/>
      <x:c r="AV157" s="5"/>
      <x:c r="AW157" s="5"/>
      <x:c r="AX157" s="5"/>
      <x:c r="AY157" s="5"/>
      <x:c r="AZ157" s="5"/>
    </x:row>
    <x:row r="158" spans="1:52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  <x:c r="AQ158" s="5"/>
      <x:c r="AR158" s="5"/>
      <x:c r="AS158" s="5"/>
      <x:c r="AT158" s="5"/>
      <x:c r="AU158" s="5"/>
      <x:c r="AV158" s="5"/>
      <x:c r="AW158" s="5"/>
      <x:c r="AX158" s="5"/>
      <x:c r="AY158" s="5"/>
      <x:c r="AZ158" s="5"/>
    </x:row>
    <x:row r="159" spans="1:52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</x:row>
    <x:row r="160" spans="1:52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</x:row>
    <x:row r="161" spans="1:52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</x:row>
    <x:row r="162" spans="1:5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</x:row>
    <x:row r="163" spans="1:52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</x:row>
    <x:row r="164" spans="1:52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</x:row>
    <x:row r="165" spans="1:52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</x:row>
    <x:row r="166" spans="1:52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</x:row>
    <x:row r="167" spans="1:52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</x:row>
    <x:row r="168" spans="1:52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/>
    </x:row>
    <x:row r="169" spans="1:52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  <x:c r="AQ169" s="5"/>
      <x:c r="AR169" s="5"/>
      <x:c r="AS169" s="5"/>
      <x:c r="AT169" s="5"/>
      <x:c r="AU169" s="5"/>
      <x:c r="AV169" s="5"/>
      <x:c r="AW169" s="5"/>
      <x:c r="AX169" s="5"/>
      <x:c r="AY169" s="5"/>
      <x:c r="AZ169" s="5"/>
    </x:row>
    <x:row r="170" spans="1:52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  <x:c r="AQ170" s="5"/>
      <x:c r="AR170" s="5"/>
      <x:c r="AS170" s="5"/>
      <x:c r="AT170" s="5"/>
      <x:c r="AU170" s="5"/>
      <x:c r="AV170" s="5"/>
      <x:c r="AW170" s="5"/>
      <x:c r="AX170" s="5"/>
      <x:c r="AY170" s="5"/>
      <x:c r="AZ170" s="5"/>
    </x:row>
    <x:row r="171" spans="1:52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/>
      <x:c r="AR171" s="5"/>
      <x:c r="AS171" s="5"/>
      <x:c r="AT171" s="5"/>
      <x:c r="AU171" s="5"/>
      <x:c r="AV171" s="5"/>
      <x:c r="AW171" s="5"/>
      <x:c r="AX171" s="5"/>
      <x:c r="AY171" s="5"/>
      <x:c r="AZ171" s="5"/>
    </x:row>
    <x:row r="172" spans="1:5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</x:row>
    <x:row r="173" spans="1:52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/>
    </x:row>
    <x:row r="174" spans="1:52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  <x:c r="AQ174" s="5"/>
      <x:c r="AR174" s="5"/>
      <x:c r="AS174" s="5"/>
      <x:c r="AT174" s="5"/>
      <x:c r="AU174" s="5"/>
      <x:c r="AV174" s="5"/>
      <x:c r="AW174" s="5"/>
      <x:c r="AX174" s="5"/>
      <x:c r="AY174" s="5"/>
      <x:c r="AZ174" s="5"/>
    </x:row>
    <x:row r="175" spans="1:52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</x:row>
    <x:row r="176" spans="1:52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</x:row>
    <x:row r="177" spans="1:52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</x:row>
    <x:row r="178" spans="1:52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</x:row>
    <x:row r="179" spans="1:52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/>
    </x:row>
    <x:row r="180" spans="1:52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</x:row>
    <x:row r="181" spans="1:52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/>
      <x:c r="AR181" s="5"/>
      <x:c r="AS181" s="5"/>
      <x:c r="AT181" s="5"/>
      <x:c r="AU181" s="5"/>
      <x:c r="AV181" s="5"/>
      <x:c r="AW181" s="5"/>
      <x:c r="AX181" s="5"/>
      <x:c r="AY181" s="5"/>
      <x:c r="AZ181" s="5"/>
    </x:row>
    <x:row r="182" spans="1:5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</x:row>
    <x:row r="183" spans="1:52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/>
      <x:c r="AR183" s="5"/>
      <x:c r="AS183" s="5"/>
      <x:c r="AT183" s="5"/>
      <x:c r="AU183" s="5"/>
      <x:c r="AV183" s="5"/>
      <x:c r="AW183" s="5"/>
      <x:c r="AX183" s="5"/>
      <x:c r="AY183" s="5"/>
      <x:c r="AZ183" s="5"/>
    </x:row>
    <x:row r="184" spans="1:52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/>
      <x:c r="AW184" s="5"/>
      <x:c r="AX184" s="5"/>
      <x:c r="AY184" s="5"/>
      <x:c r="AZ184" s="5"/>
    </x:row>
    <x:row r="185" spans="1:52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</x:row>
    <x:row r="186" spans="1:52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</x:row>
    <x:row r="187" spans="1:52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</x:row>
    <x:row r="188" spans="1:52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</x:row>
    <x:row r="189" spans="1:52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</x:row>
    <x:row r="190" spans="1:52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</x:row>
    <x:row r="191" spans="1:52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  <x:c r="AQ191" s="5"/>
      <x:c r="AR191" s="5"/>
      <x:c r="AS191" s="5"/>
      <x:c r="AT191" s="5"/>
      <x:c r="AU191" s="5"/>
      <x:c r="AV191" s="5"/>
      <x:c r="AW191" s="5"/>
      <x:c r="AX191" s="5"/>
      <x:c r="AY191" s="5"/>
      <x:c r="AZ191" s="5"/>
    </x:row>
    <x:row r="192" spans="1:5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</x:row>
    <x:row r="193" spans="1:52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/>
    </x:row>
    <x:row r="194" spans="1:52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</x:row>
    <x:row r="195" spans="1:52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</x:row>
    <x:row r="196" spans="1:52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</x:row>
    <x:row r="197" spans="1:52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</x:row>
    <x:row r="198" spans="1:52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  <x:c r="AQ198" s="5"/>
      <x:c r="AR198" s="5"/>
      <x:c r="AS198" s="5"/>
      <x:c r="AT198" s="5"/>
      <x:c r="AU198" s="5"/>
      <x:c r="AV198" s="5"/>
      <x:c r="AW198" s="5"/>
      <x:c r="AX198" s="5"/>
      <x:c r="AY198" s="5"/>
      <x:c r="AZ198" s="5"/>
    </x:row>
    <x:row r="199" spans="1:52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</x:row>
    <x:row r="200" spans="1:52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</x:row>
    <x:row r="201" spans="1:52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/>
      <x:c r="AR201" s="5"/>
      <x:c r="AS201" s="5"/>
      <x:c r="AT201" s="5"/>
      <x:c r="AU201" s="5"/>
      <x:c r="AV201" s="5"/>
      <x:c r="AW201" s="5"/>
      <x:c r="AX201" s="5"/>
      <x:c r="AY201" s="5"/>
      <x:c r="AZ201" s="5"/>
    </x:row>
    <x:row r="202" spans="1:5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</x:row>
    <x:row r="203" spans="1:52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</x:row>
    <x:row r="204" spans="1:52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</x:row>
    <x:row r="205" spans="1:52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</x:row>
    <x:row r="206" spans="1:52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</x:row>
    <x:row r="207" spans="1:52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/>
    </x:row>
    <x:row r="208" spans="1:52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/>
    </x:row>
    <x:row r="209" spans="1:52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</x:row>
    <x:row r="210" spans="1:52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/>
    </x:row>
    <x:row r="211" spans="1:52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</x:row>
    <x:row r="212" spans="1:5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</x:row>
    <x:row r="213" spans="1:52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</x:row>
    <x:row r="214" spans="1:52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</x:row>
    <x:row r="215" spans="1:52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</x:row>
    <x:row r="216" spans="1:52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</x:row>
    <x:row r="217" spans="1:52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</x:row>
    <x:row r="218" spans="1:52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/>
      <x:c r="AR218" s="5"/>
      <x:c r="AS218" s="5"/>
      <x:c r="AT218" s="5"/>
      <x:c r="AU218" s="5"/>
      <x:c r="AV218" s="5"/>
      <x:c r="AW218" s="5"/>
      <x:c r="AX218" s="5"/>
      <x:c r="AY218" s="5"/>
      <x:c r="AZ218" s="5"/>
    </x:row>
    <x:row r="219" spans="1:52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</x:row>
    <x:row r="220" spans="1:52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</x:row>
  </x:sheetData>
  <x:mergeCells count="2">
    <x:mergeCell ref="A1:H2"/>
    <x:mergeCell ref="A9:H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Z221"/>
  <x:sheetViews>
    <x:sheetView tabSelected="1" topLeftCell="A1" zoomScaleNormal="100" zoomScaleSheetLayoutView="75" workbookViewId="0">
      <x:selection activeCell="B29" activeCellId="0" sqref="B29:B29"/>
    </x:sheetView>
  </x:sheetViews>
  <x:sheetFormatPr defaultColWidth="8.72265625" defaultRowHeight="13.550000000000001"/>
  <x:cols>
    <x:col min="1" max="1" width="12" style="4" customWidth="1"/>
    <x:col min="2" max="2" width="12" style="18" customWidth="1"/>
    <x:col min="3" max="3" width="8" style="18" customWidth="1"/>
    <x:col min="4" max="4" width="16" style="18" customWidth="1"/>
    <x:col min="5" max="5" width="12" style="18" customWidth="1"/>
    <x:col min="6" max="6" width="22.7265625" style="18" customWidth="1"/>
    <x:col min="7" max="7" width="9.546875" style="18" customWidth="1"/>
    <x:col min="8" max="8" width="18.36328125" style="22" customWidth="1"/>
    <x:col min="9" max="9" width="15.08984375" style="33" customWidth="1"/>
    <x:col min="10" max="10" width="31" style="4" customWidth="1"/>
    <x:col min="11" max="12" width="13" style="18" customWidth="1"/>
    <x:col min="13" max="16" width="9" style="18" customWidth="1"/>
    <x:col min="17" max="17" width="10" style="18" customWidth="1"/>
    <x:col min="18" max="18" width="9" style="18" customWidth="1"/>
    <x:col min="19" max="20" width="10" style="18" customWidth="1"/>
    <x:col min="21" max="23" width="13" style="18" customWidth="1"/>
    <x:col min="24" max="24" width="14" style="18" customWidth="1"/>
    <x:col min="25" max="27" width="13" style="18" customWidth="1"/>
    <x:col min="28" max="28" width="12" style="4" customWidth="1"/>
    <x:col min="29" max="29" width="28" style="4" customWidth="1"/>
    <x:col min="30" max="30" width="10" style="4" customWidth="1"/>
  </x:cols>
  <x:sheetData>
    <x:row r="1" spans="1:52">
      <x:c r="A1" s="40" t="s">
        <x:v>18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</x:row>
    <x:row r="2" spans="1:5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</x:row>
    <x:row r="3" spans="1:52">
      <x:c r="A3" s="40" t="s">
        <x:v>259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  <x:c r="AB3" s="40"/>
      <x:c r="AC3" s="40"/>
      <x:c r="AD3" s="40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</x:row>
    <x:row r="4" spans="1:52">
      <x:c r="A4" s="21" t="s">
        <x:v>56</x:v>
      </x:c>
      <x:c r="B4" s="37" t="s">
        <x:v>176</x:v>
      </x:c>
      <x:c r="C4" s="6" t="s">
        <x:v>156</x:v>
      </x:c>
      <x:c r="D4" s="6" t="s">
        <x:v>199</x:v>
      </x:c>
      <x:c r="E4" s="6" t="s">
        <x:v>59</x:v>
      </x:c>
      <x:c r="F4" s="6" t="s">
        <x:v>62</x:v>
      </x:c>
      <x:c r="G4" s="38" t="s">
        <x:v>235</x:v>
      </x:c>
      <x:c r="H4" s="29" t="s">
        <x:v>325</x:v>
      </x:c>
      <x:c r="I4" s="29" t="s">
        <x:v>71</x:v>
      </x:c>
      <x:c r="J4" s="37" t="s">
        <x:v>55</x:v>
      </x:c>
      <x:c r="K4" s="6" t="s">
        <x:v>84</x:v>
      </x:c>
      <x:c r="L4" s="21" t="s">
        <x:v>64</x:v>
      </x:c>
      <x:c r="M4" s="6" t="s">
        <x:v>152</x:v>
      </x:c>
      <x:c r="N4" s="6" t="s">
        <x:v>83</x:v>
      </x:c>
      <x:c r="O4" s="6" t="s">
        <x:v>201</x:v>
      </x:c>
      <x:c r="P4" s="6" t="s">
        <x:v>181</x:v>
      </x:c>
      <x:c r="Q4" s="6" t="s">
        <x:v>92</x:v>
      </x:c>
      <x:c r="R4" s="6" t="s">
        <x:v>155</x:v>
      </x:c>
      <x:c r="S4" s="6" t="s">
        <x:v>89</x:v>
      </x:c>
      <x:c r="T4" s="6" t="s">
        <x:v>65</x:v>
      </x:c>
      <x:c r="U4" s="6" t="s">
        <x:v>70</x:v>
      </x:c>
      <x:c r="V4" s="6" t="s">
        <x:v>69</x:v>
      </x:c>
      <x:c r="W4" s="6" t="s">
        <x:v>94</x:v>
      </x:c>
      <x:c r="X4" s="6" t="s">
        <x:v>102</x:v>
      </x:c>
      <x:c r="Y4" s="6" t="s">
        <x:v>63</x:v>
      </x:c>
      <x:c r="Z4" s="6" t="s">
        <x:v>72</x:v>
      </x:c>
      <x:c r="AA4" s="6" t="s">
        <x:v>51</x:v>
      </x:c>
      <x:c r="AB4" s="6" t="s">
        <x:v>67</x:v>
      </x:c>
      <x:c r="AC4" s="6" t="s">
        <x:v>198</x:v>
      </x:c>
      <x:c r="AD4" s="21" t="s">
        <x:v>80</x:v>
      </x:c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</x:row>
    <x:row r="5" spans="1:52">
      <x:c r="A5" s="10" t="s">
        <x:v>82</x:v>
      </x:c>
      <x:c r="B5" s="39" t="s">
        <x:v>233</x:v>
      </x:c>
      <x:c r="C5" s="19" t="s">
        <x:v>166</x:v>
      </x:c>
      <x:c r="D5" s="19"/>
      <x:c r="E5" s="19"/>
      <x:c r="F5" s="19"/>
      <x:c r="G5" s="1"/>
      <x:c r="H5" s="30" t="s">
        <x:v>221</x:v>
      </x:c>
      <x:c r="I5" s="30" t="s">
        <x:v>196</x:v>
      </x:c>
      <x:c r="J5" s="10"/>
      <x:c r="K5" s="35">
        <x:v>45689</x:v>
      </x:c>
      <x:c r="L5" s="1" t="s">
        <x:v>152</x:v>
      </x:c>
      <x:c r="M5" s="19"/>
      <x:c r="N5" s="19"/>
      <x:c r="O5" s="19"/>
      <x:c r="P5" s="19"/>
      <x:c r="Q5" s="19"/>
      <x:c r="R5" s="19"/>
      <x:c r="S5" s="19"/>
      <x:c r="T5" s="19"/>
      <x:c r="U5" s="1"/>
      <x:c r="V5" s="1"/>
      <x:c r="W5" s="1"/>
      <x:c r="X5" s="1"/>
      <x:c r="Y5" s="1"/>
      <x:c r="Z5" s="1"/>
      <x:c r="AA5" s="1"/>
      <x:c r="AB5" s="9"/>
      <x:c r="AC5" s="9"/>
      <x:c r="AD5" s="10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</x:row>
    <x:row r="6" spans="1:52">
      <x:c r="A6" s="10" t="s">
        <x:v>74</x:v>
      </x:c>
      <x:c r="B6" s="39" t="s">
        <x:v>237</x:v>
      </x:c>
      <x:c r="C6" s="19" t="s">
        <x:v>163</x:v>
      </x:c>
      <x:c r="D6" s="19"/>
      <x:c r="E6" s="19" t="s">
        <x:v>173</x:v>
      </x:c>
      <x:c r="F6" s="19" t="s">
        <x:v>131</x:v>
      </x:c>
      <x:c r="G6" s="1" t="s">
        <x:v>159</x:v>
      </x:c>
      <x:c r="H6" s="30" t="s">
        <x:v>221</x:v>
      </x:c>
      <x:c r="I6" s="30" t="s">
        <x:v>196</x:v>
      </x:c>
      <x:c r="J6" s="10" t="s">
        <x:v>30</x:v>
      </x:c>
      <x:c r="K6" s="36">
        <x:v>45809</x:v>
      </x:c>
      <x:c r="L6" s="1" t="s">
        <x:v>152</x:v>
      </x:c>
      <x:c r="M6" s="19"/>
      <x:c r="N6" s="19"/>
      <x:c r="O6" s="19"/>
      <x:c r="P6" s="19"/>
      <x:c r="Q6" s="19"/>
      <x:c r="R6" s="19"/>
      <x:c r="S6" s="19"/>
      <x:c r="T6" s="19"/>
      <x:c r="U6" s="1"/>
      <x:c r="V6" s="1"/>
      <x:c r="W6" s="1"/>
      <x:c r="X6" s="1"/>
      <x:c r="Y6" s="1"/>
      <x:c r="Z6" s="1"/>
      <x:c r="AA6" s="1"/>
      <x:c r="AB6" s="9"/>
      <x:c r="AC6" s="9"/>
      <x:c r="AD6" s="10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</x:row>
    <x:row r="7" spans="1:52">
      <x:c r="A7" s="10" t="s">
        <x:v>108</x:v>
      </x:c>
      <x:c r="B7" s="39" t="s">
        <x:v>249</x:v>
      </x:c>
      <x:c r="C7" s="19" t="s">
        <x:v>163</x:v>
      </x:c>
      <x:c r="D7" s="19"/>
      <x:c r="E7" s="19"/>
      <x:c r="F7" s="19"/>
      <x:c r="G7" s="1"/>
      <x:c r="H7" s="30" t="s">
        <x:v>221</x:v>
      </x:c>
      <x:c r="I7" s="30" t="s">
        <x:v>196</x:v>
      </x:c>
      <x:c r="J7" s="10"/>
      <x:c r="K7" s="35">
        <x:v>45689</x:v>
      </x:c>
      <x:c r="L7" s="1" t="s">
        <x:v>152</x:v>
      </x:c>
      <x:c r="M7" s="19"/>
      <x:c r="N7" s="19"/>
      <x:c r="O7" s="19"/>
      <x:c r="P7" s="19"/>
      <x:c r="Q7" s="19"/>
      <x:c r="R7" s="19"/>
      <x:c r="S7" s="19"/>
      <x:c r="T7" s="19"/>
      <x:c r="U7" s="1"/>
      <x:c r="V7" s="1"/>
      <x:c r="W7" s="1"/>
      <x:c r="X7" s="1"/>
      <x:c r="Y7" s="1"/>
      <x:c r="Z7" s="1"/>
      <x:c r="AA7" s="1"/>
      <x:c r="AB7" s="9"/>
      <x:c r="AC7" s="9"/>
      <x:c r="AD7" s="10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</x:row>
    <x:row r="8" spans="1:52">
      <x:c r="A8" s="10" t="s">
        <x:v>114</x:v>
      </x:c>
      <x:c r="B8" s="39" t="s">
        <x:v>165</x:v>
      </x:c>
      <x:c r="C8" s="19" t="s">
        <x:v>163</x:v>
      </x:c>
      <x:c r="D8" s="19"/>
      <x:c r="E8" s="19" t="s">
        <x:v>153</x:v>
      </x:c>
      <x:c r="F8" s="19" t="s">
        <x:v>153</x:v>
      </x:c>
      <x:c r="G8" s="1" t="s">
        <x:v>161</x:v>
      </x:c>
      <x:c r="H8" s="30" t="s">
        <x:v>221</x:v>
      </x:c>
      <x:c r="I8" s="30" t="s">
        <x:v>196</x:v>
      </x:c>
      <x:c r="J8" s="10" t="s">
        <x:v>42</x:v>
      </x:c>
      <x:c r="K8" s="36">
        <x:v>43831</x:v>
      </x:c>
      <x:c r="L8" s="1" t="s">
        <x:v>152</x:v>
      </x:c>
      <x:c r="M8" s="19"/>
      <x:c r="N8" s="19"/>
      <x:c r="O8" s="19"/>
      <x:c r="P8" s="19"/>
      <x:c r="Q8" s="19"/>
      <x:c r="R8" s="19"/>
      <x:c r="S8" s="19" t="s">
        <x:v>162</x:v>
      </x:c>
      <x:c r="T8" s="19"/>
      <x:c r="U8" s="1"/>
      <x:c r="V8" s="1"/>
      <x:c r="W8" s="1"/>
      <x:c r="X8" s="1"/>
      <x:c r="Y8" s="1"/>
      <x:c r="Z8" s="1"/>
      <x:c r="AA8" s="1"/>
      <x:c r="AB8" s="9"/>
      <x:c r="AC8" s="9"/>
      <x:c r="AD8" s="10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</x:row>
    <x:row r="9" spans="1:52">
      <x:c r="A9" s="10" t="s">
        <x:v>121</x:v>
      </x:c>
      <x:c r="B9" s="39" t="s">
        <x:v>238</x:v>
      </x:c>
      <x:c r="C9" s="19" t="s">
        <x:v>166</x:v>
      </x:c>
      <x:c r="D9" s="19"/>
      <x:c r="E9" s="19"/>
      <x:c r="F9" s="19"/>
      <x:c r="G9" s="1"/>
      <x:c r="H9" s="30" t="s">
        <x:v>221</x:v>
      </x:c>
      <x:c r="I9" s="30" t="s">
        <x:v>196</x:v>
      </x:c>
      <x:c r="J9" s="10"/>
      <x:c r="K9" s="35">
        <x:v>45689</x:v>
      </x:c>
      <x:c r="L9" s="1" t="s">
        <x:v>152</x:v>
      </x:c>
      <x:c r="M9" s="19"/>
      <x:c r="N9" s="19"/>
      <x:c r="O9" s="19"/>
      <x:c r="P9" s="19"/>
      <x:c r="Q9" s="19"/>
      <x:c r="R9" s="19"/>
      <x:c r="S9" s="19"/>
      <x:c r="T9" s="19"/>
      <x:c r="U9" s="1"/>
      <x:c r="V9" s="1"/>
      <x:c r="W9" s="1"/>
      <x:c r="X9" s="1"/>
      <x:c r="Y9" s="1"/>
      <x:c r="Z9" s="1"/>
      <x:c r="AA9" s="1"/>
      <x:c r="AB9" s="9"/>
      <x:c r="AC9" s="9"/>
      <x:c r="AD9" s="10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</x:row>
    <x:row r="10" spans="1:52">
      <x:c r="A10" s="10" t="s">
        <x:v>127</x:v>
      </x:c>
      <x:c r="B10" s="39" t="s">
        <x:v>224</x:v>
      </x:c>
      <x:c r="C10" s="19" t="s">
        <x:v>163</x:v>
      </x:c>
      <x:c r="D10" s="19"/>
      <x:c r="E10" s="19"/>
      <x:c r="F10" s="19"/>
      <x:c r="G10" s="1"/>
      <x:c r="H10" s="30" t="s">
        <x:v>221</x:v>
      </x:c>
      <x:c r="I10" s="30" t="s">
        <x:v>196</x:v>
      </x:c>
      <x:c r="J10" s="10"/>
      <x:c r="K10" s="36">
        <x:v>45689</x:v>
      </x:c>
      <x:c r="L10" s="1" t="s">
        <x:v>152</x:v>
      </x:c>
      <x:c r="M10" s="19"/>
      <x:c r="N10" s="19"/>
      <x:c r="O10" s="19"/>
      <x:c r="P10" s="19"/>
      <x:c r="Q10" s="19"/>
      <x:c r="R10" s="19"/>
      <x:c r="S10" s="19"/>
      <x:c r="T10" s="19"/>
      <x:c r="U10" s="1"/>
      <x:c r="V10" s="1"/>
      <x:c r="W10" s="1"/>
      <x:c r="X10" s="1"/>
      <x:c r="Y10" s="1"/>
      <x:c r="Z10" s="1"/>
      <x:c r="AA10" s="1"/>
      <x:c r="AB10" s="9"/>
      <x:c r="AC10" s="9"/>
      <x:c r="AD10" s="10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</x:row>
    <x:row r="11" spans="1:52">
      <x:c r="A11" s="10" t="s">
        <x:v>135</x:v>
      </x:c>
      <x:c r="B11" s="39" t="s">
        <x:v>209</x:v>
      </x:c>
      <x:c r="C11" s="19" t="s">
        <x:v>166</x:v>
      </x:c>
      <x:c r="D11" s="19"/>
      <x:c r="E11" s="19"/>
      <x:c r="F11" s="19"/>
      <x:c r="G11" s="1"/>
      <x:c r="H11" s="30" t="s">
        <x:v>221</x:v>
      </x:c>
      <x:c r="I11" s="30" t="s">
        <x:v>196</x:v>
      </x:c>
      <x:c r="J11" s="10"/>
      <x:c r="K11" s="35">
        <x:v>45689</x:v>
      </x:c>
      <x:c r="L11" s="1" t="s">
        <x:v>152</x:v>
      </x:c>
      <x:c r="M11" s="19"/>
      <x:c r="N11" s="19"/>
      <x:c r="O11" s="19"/>
      <x:c r="P11" s="19"/>
      <x:c r="Q11" s="19"/>
      <x:c r="R11" s="19"/>
      <x:c r="S11" s="19"/>
      <x:c r="T11" s="19"/>
      <x:c r="U11" s="1"/>
      <x:c r="V11" s="1"/>
      <x:c r="W11" s="1"/>
      <x:c r="X11" s="1"/>
      <x:c r="Y11" s="1"/>
      <x:c r="Z11" s="1"/>
      <x:c r="AA11" s="1"/>
      <x:c r="AB11" s="9"/>
      <x:c r="AC11" s="9"/>
      <x:c r="AD11" s="10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</x:row>
    <x:row r="12" spans="1:52">
      <x:c r="A12" s="10" t="s">
        <x:v>141</x:v>
      </x:c>
      <x:c r="B12" s="39" t="s">
        <x:v>222</x:v>
      </x:c>
      <x:c r="C12" s="19" t="s">
        <x:v>163</x:v>
      </x:c>
      <x:c r="D12" s="19"/>
      <x:c r="E12" s="19" t="s">
        <x:v>203</x:v>
      </x:c>
      <x:c r="F12" s="19" t="s">
        <x:v>106</x:v>
      </x:c>
      <x:c r="G12" s="1" t="s">
        <x:v>168</x:v>
      </x:c>
      <x:c r="H12" s="30" t="s">
        <x:v>221</x:v>
      </x:c>
      <x:c r="I12" s="30" t="s">
        <x:v>196</x:v>
      </x:c>
      <x:c r="J12" s="10" t="s">
        <x:v>148</x:v>
      </x:c>
      <x:c r="K12" s="36">
        <x:v>42860</x:v>
      </x:c>
      <x:c r="L12" s="1" t="s">
        <x:v>152</x:v>
      </x:c>
      <x:c r="M12" s="19"/>
      <x:c r="N12" s="19"/>
      <x:c r="O12" s="19"/>
      <x:c r="P12" s="19"/>
      <x:c r="Q12" s="19"/>
      <x:c r="R12" s="19"/>
      <x:c r="S12" s="19"/>
      <x:c r="T12" s="19"/>
      <x:c r="U12" s="1"/>
      <x:c r="V12" s="1"/>
      <x:c r="W12" s="1"/>
      <x:c r="X12" s="1"/>
      <x:c r="Y12" s="1"/>
      <x:c r="Z12" s="1"/>
      <x:c r="AA12" s="1"/>
      <x:c r="AB12" s="9"/>
      <x:c r="AC12" s="9"/>
      <x:c r="AD12" s="10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</x:row>
    <x:row r="13" spans="1:52">
      <x:c r="A13" s="10" t="s">
        <x:v>111</x:v>
      </x:c>
      <x:c r="B13" s="39" t="s">
        <x:v>242</x:v>
      </x:c>
      <x:c r="C13" s="19" t="s">
        <x:v>163</x:v>
      </x:c>
      <x:c r="D13" s="19"/>
      <x:c r="E13" s="19"/>
      <x:c r="F13" s="19"/>
      <x:c r="G13" s="1"/>
      <x:c r="H13" s="30" t="s">
        <x:v>221</x:v>
      </x:c>
      <x:c r="I13" s="30" t="s">
        <x:v>196</x:v>
      </x:c>
      <x:c r="J13" s="10"/>
      <x:c r="K13" s="35">
        <x:v>45689</x:v>
      </x:c>
      <x:c r="L13" s="1" t="s">
        <x:v>152</x:v>
      </x:c>
      <x:c r="M13" s="19"/>
      <x:c r="N13" s="19"/>
      <x:c r="O13" s="19"/>
      <x:c r="P13" s="19"/>
      <x:c r="Q13" s="19"/>
      <x:c r="R13" s="19"/>
      <x:c r="S13" s="19"/>
      <x:c r="T13" s="19"/>
      <x:c r="U13" s="1"/>
      <x:c r="V13" s="1"/>
      <x:c r="W13" s="1"/>
      <x:c r="X13" s="1"/>
      <x:c r="Y13" s="1"/>
      <x:c r="Z13" s="1"/>
      <x:c r="AA13" s="1"/>
      <x:c r="AB13" s="9"/>
      <x:c r="AC13" s="9"/>
      <x:c r="AD13" s="10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</x:row>
    <x:row r="14" spans="1:52">
      <x:c r="A14" s="10" t="s">
        <x:v>123</x:v>
      </x:c>
      <x:c r="B14" s="39" t="s">
        <x:v>217</x:v>
      </x:c>
      <x:c r="C14" s="19" t="s">
        <x:v>163</x:v>
      </x:c>
      <x:c r="D14" s="19"/>
      <x:c r="E14" s="19" t="s">
        <x:v>216</x:v>
      </x:c>
      <x:c r="F14" s="19" t="s">
        <x:v>61</x:v>
      </x:c>
      <x:c r="G14" s="1" t="s">
        <x:v>171</x:v>
      </x:c>
      <x:c r="H14" s="30" t="s">
        <x:v>221</x:v>
      </x:c>
      <x:c r="I14" s="30" t="s">
        <x:v>196</x:v>
      </x:c>
      <x:c r="J14" s="10"/>
      <x:c r="K14" s="36">
        <x:v>45689</x:v>
      </x:c>
      <x:c r="L14" s="1" t="s">
        <x:v>152</x:v>
      </x:c>
      <x:c r="M14" s="19"/>
      <x:c r="N14" s="19"/>
      <x:c r="O14" s="19"/>
      <x:c r="P14" s="19"/>
      <x:c r="Q14" s="19"/>
      <x:c r="R14" s="19"/>
      <x:c r="S14" s="19"/>
      <x:c r="T14" s="19"/>
      <x:c r="U14" s="1"/>
      <x:c r="V14" s="1"/>
      <x:c r="W14" s="1"/>
      <x:c r="X14" s="1"/>
      <x:c r="Y14" s="1"/>
      <x:c r="Z14" s="1"/>
      <x:c r="AA14" s="1"/>
      <x:c r="AB14" s="9"/>
      <x:c r="AC14" s="9"/>
      <x:c r="AD14" s="10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</x:row>
    <x:row r="15" spans="1:52">
      <x:c r="A15" s="10" t="s">
        <x:v>137</x:v>
      </x:c>
      <x:c r="B15" s="39" t="s">
        <x:v>236</x:v>
      </x:c>
      <x:c r="C15" s="19" t="s">
        <x:v>166</x:v>
      </x:c>
      <x:c r="D15" s="19"/>
      <x:c r="E15" s="19"/>
      <x:c r="F15" s="19"/>
      <x:c r="G15" s="1"/>
      <x:c r="H15" s="30" t="s">
        <x:v>221</x:v>
      </x:c>
      <x:c r="I15" s="30" t="s">
        <x:v>196</x:v>
      </x:c>
      <x:c r="J15" s="10"/>
      <x:c r="K15" s="35">
        <x:v>45689</x:v>
      </x:c>
      <x:c r="L15" s="1" t="s">
        <x:v>152</x:v>
      </x:c>
      <x:c r="M15" s="19"/>
      <x:c r="N15" s="19"/>
      <x:c r="O15" s="19"/>
      <x:c r="P15" s="19"/>
      <x:c r="Q15" s="19"/>
      <x:c r="R15" s="19"/>
      <x:c r="S15" s="19"/>
      <x:c r="T15" s="19"/>
      <x:c r="U15" s="1"/>
      <x:c r="V15" s="1"/>
      <x:c r="W15" s="1"/>
      <x:c r="X15" s="1"/>
      <x:c r="Y15" s="1"/>
      <x:c r="Z15" s="1"/>
      <x:c r="AA15" s="1"/>
      <x:c r="AB15" s="9"/>
      <x:c r="AC15" s="9"/>
      <x:c r="AD15" s="10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</x:row>
    <x:row r="16" spans="1:52">
      <x:c r="A16" s="10" t="s">
        <x:v>372</x:v>
      </x:c>
      <x:c r="B16" s="39" t="s">
        <x:v>213</x:v>
      </x:c>
      <x:c r="C16" s="19" t="s">
        <x:v>166</x:v>
      </x:c>
      <x:c r="D16" s="19"/>
      <x:c r="E16" s="19"/>
      <x:c r="F16" s="19"/>
      <x:c r="G16" s="1"/>
      <x:c r="H16" s="30" t="s">
        <x:v>221</x:v>
      </x:c>
      <x:c r="I16" s="30" t="s">
        <x:v>196</x:v>
      </x:c>
      <x:c r="J16" s="10"/>
      <x:c r="K16" s="36">
        <x:v>45689</x:v>
      </x:c>
      <x:c r="L16" s="1" t="s">
        <x:v>152</x:v>
      </x:c>
      <x:c r="M16" s="19"/>
      <x:c r="N16" s="19"/>
      <x:c r="O16" s="19"/>
      <x:c r="P16" s="19"/>
      <x:c r="Q16" s="19"/>
      <x:c r="R16" s="19"/>
      <x:c r="S16" s="19"/>
      <x:c r="T16" s="19"/>
      <x:c r="U16" s="1"/>
      <x:c r="V16" s="1"/>
      <x:c r="W16" s="1"/>
      <x:c r="X16" s="1"/>
      <x:c r="Y16" s="1"/>
      <x:c r="Z16" s="1"/>
      <x:c r="AA16" s="1"/>
      <x:c r="AB16" s="9"/>
      <x:c r="AC16" s="9"/>
      <x:c r="AD16" s="10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</x:row>
    <x:row r="17" spans="1:52">
      <x:c r="A17" s="10" t="s">
        <x:v>86</x:v>
      </x:c>
      <x:c r="B17" s="39" t="s">
        <x:v>208</x:v>
      </x:c>
      <x:c r="C17" s="19" t="s">
        <x:v>163</x:v>
      </x:c>
      <x:c r="D17" s="19"/>
      <x:c r="E17" s="19"/>
      <x:c r="F17" s="19"/>
      <x:c r="G17" s="1"/>
      <x:c r="H17" s="30" t="s">
        <x:v>221</x:v>
      </x:c>
      <x:c r="I17" s="30" t="s">
        <x:v>196</x:v>
      </x:c>
      <x:c r="J17" s="10"/>
      <x:c r="K17" s="35">
        <x:v>45689</x:v>
      </x:c>
      <x:c r="L17" s="1" t="s">
        <x:v>152</x:v>
      </x:c>
      <x:c r="M17" s="19"/>
      <x:c r="N17" s="19"/>
      <x:c r="O17" s="19"/>
      <x:c r="P17" s="19"/>
      <x:c r="Q17" s="19"/>
      <x:c r="R17" s="19"/>
      <x:c r="S17" s="19"/>
      <x:c r="T17" s="19"/>
      <x:c r="U17" s="1"/>
      <x:c r="V17" s="1"/>
      <x:c r="W17" s="1"/>
      <x:c r="X17" s="1"/>
      <x:c r="Y17" s="1"/>
      <x:c r="Z17" s="1"/>
      <x:c r="AA17" s="1"/>
      <x:c r="AB17" s="9"/>
      <x:c r="AC17" s="9"/>
      <x:c r="AD17" s="10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</x:row>
    <x:row r="18" spans="1:52">
      <x:c r="A18" s="10" t="s">
        <x:v>134</x:v>
      </x:c>
      <x:c r="B18" s="39" t="s">
        <x:v>218</x:v>
      </x:c>
      <x:c r="C18" s="19" t="s">
        <x:v>166</x:v>
      </x:c>
      <x:c r="D18" s="19"/>
      <x:c r="E18" s="19" t="s">
        <x:v>216</x:v>
      </x:c>
      <x:c r="F18" s="19" t="s">
        <x:v>327</x:v>
      </x:c>
      <x:c r="G18" s="1" t="s">
        <x:v>168</x:v>
      </x:c>
      <x:c r="H18" s="30" t="s">
        <x:v>221</x:v>
      </x:c>
      <x:c r="I18" s="30" t="s">
        <x:v>221</x:v>
      </x:c>
      <x:c r="J18" s="10" t="s">
        <x:v>146</x:v>
      </x:c>
      <x:c r="K18" s="36">
        <x:v>44228</x:v>
      </x:c>
      <x:c r="L18" s="1" t="s">
        <x:v>152</x:v>
      </x:c>
      <x:c r="M18" s="19"/>
      <x:c r="N18" s="19"/>
      <x:c r="O18" s="19"/>
      <x:c r="P18" s="19"/>
      <x:c r="Q18" s="19"/>
      <x:c r="R18" s="19"/>
      <x:c r="S18" s="19"/>
      <x:c r="T18" s="19"/>
      <x:c r="U18" s="1"/>
      <x:c r="V18" s="1"/>
      <x:c r="W18" s="1"/>
      <x:c r="X18" s="1"/>
      <x:c r="Y18" s="1"/>
      <x:c r="Z18" s="1"/>
      <x:c r="AA18" s="1"/>
      <x:c r="AB18" s="9"/>
      <x:c r="AC18" s="9"/>
      <x:c r="AD18" s="10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</x:row>
    <x:row r="19" spans="1:52">
      <x:c r="A19" s="10" t="s">
        <x:v>128</x:v>
      </x:c>
      <x:c r="B19" s="39" t="s">
        <x:v>189</x:v>
      </x:c>
      <x:c r="C19" s="19" t="s">
        <x:v>163</x:v>
      </x:c>
      <x:c r="D19" s="19"/>
      <x:c r="E19" s="19"/>
      <x:c r="F19" s="19"/>
      <x:c r="G19" s="1"/>
      <x:c r="H19" s="30" t="s">
        <x:v>221</x:v>
      </x:c>
      <x:c r="I19" s="30" t="s">
        <x:v>196</x:v>
      </x:c>
      <x:c r="J19" s="10"/>
      <x:c r="K19" s="35">
        <x:v>45689</x:v>
      </x:c>
      <x:c r="L19" s="1" t="s">
        <x:v>152</x:v>
      </x:c>
      <x:c r="M19" s="19"/>
      <x:c r="N19" s="19"/>
      <x:c r="O19" s="19"/>
      <x:c r="P19" s="19"/>
      <x:c r="Q19" s="19"/>
      <x:c r="R19" s="19"/>
      <x:c r="S19" s="19"/>
      <x:c r="T19" s="19"/>
      <x:c r="U19" s="1"/>
      <x:c r="V19" s="1"/>
      <x:c r="W19" s="1"/>
      <x:c r="X19" s="1"/>
      <x:c r="Y19" s="1"/>
      <x:c r="Z19" s="1"/>
      <x:c r="AA19" s="1"/>
      <x:c r="AB19" s="9"/>
      <x:c r="AC19" s="9"/>
      <x:c r="AD19" s="10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</x:row>
    <x:row r="20" spans="1:52">
      <x:c r="A20" s="10" t="s">
        <x:v>120</x:v>
      </x:c>
      <x:c r="B20" s="39" t="s">
        <x:v>241</x:v>
      </x:c>
      <x:c r="C20" s="19" t="s">
        <x:v>163</x:v>
      </x:c>
      <x:c r="D20" s="19"/>
      <x:c r="E20" s="19"/>
      <x:c r="F20" s="19"/>
      <x:c r="G20" s="1"/>
      <x:c r="H20" s="30" t="s">
        <x:v>221</x:v>
      </x:c>
      <x:c r="I20" s="30" t="s">
        <x:v>196</x:v>
      </x:c>
      <x:c r="J20" s="10"/>
      <x:c r="K20" s="36">
        <x:v>45689</x:v>
      </x:c>
      <x:c r="L20" s="1" t="s">
        <x:v>152</x:v>
      </x:c>
      <x:c r="M20" s="19"/>
      <x:c r="N20" s="19"/>
      <x:c r="O20" s="19"/>
      <x:c r="P20" s="19"/>
      <x:c r="Q20" s="19"/>
      <x:c r="R20" s="19"/>
      <x:c r="S20" s="19"/>
      <x:c r="T20" s="19"/>
      <x:c r="U20" s="1"/>
      <x:c r="V20" s="1"/>
      <x:c r="W20" s="1"/>
      <x:c r="X20" s="1"/>
      <x:c r="Y20" s="1"/>
      <x:c r="Z20" s="1"/>
      <x:c r="AA20" s="1"/>
      <x:c r="AB20" s="9"/>
      <x:c r="AC20" s="9"/>
      <x:c r="AD20" s="10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</x:row>
    <x:row r="21" spans="1:52">
      <x:c r="A21" s="10" t="s">
        <x:v>373</x:v>
      </x:c>
      <x:c r="B21" s="39" t="s">
        <x:v>243</x:v>
      </x:c>
      <x:c r="C21" s="19" t="s">
        <x:v>163</x:v>
      </x:c>
      <x:c r="D21" s="19"/>
      <x:c r="E21" s="19"/>
      <x:c r="F21" s="19"/>
      <x:c r="G21" s="1"/>
      <x:c r="H21" s="30" t="s">
        <x:v>221</x:v>
      </x:c>
      <x:c r="I21" s="30" t="s">
        <x:v>196</x:v>
      </x:c>
      <x:c r="J21" s="10"/>
      <x:c r="K21" s="35">
        <x:v>45689</x:v>
      </x:c>
      <x:c r="L21" s="1" t="s">
        <x:v>152</x:v>
      </x:c>
      <x:c r="M21" s="19"/>
      <x:c r="N21" s="19"/>
      <x:c r="O21" s="19"/>
      <x:c r="P21" s="19"/>
      <x:c r="Q21" s="19"/>
      <x:c r="R21" s="19"/>
      <x:c r="S21" s="19"/>
      <x:c r="T21" s="19"/>
      <x:c r="U21" s="1"/>
      <x:c r="V21" s="1"/>
      <x:c r="W21" s="1"/>
      <x:c r="X21" s="1"/>
      <x:c r="Y21" s="1"/>
      <x:c r="Z21" s="1"/>
      <x:c r="AA21" s="1"/>
      <x:c r="AB21" s="9"/>
      <x:c r="AC21" s="9"/>
      <x:c r="AD21" s="10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</x:row>
    <x:row r="22" spans="1:52">
      <x:c r="A22" s="10" t="s">
        <x:v>139</x:v>
      </x:c>
      <x:c r="B22" s="39" t="s">
        <x:v>247</x:v>
      </x:c>
      <x:c r="C22" s="19" t="s">
        <x:v>163</x:v>
      </x:c>
      <x:c r="D22" s="19"/>
      <x:c r="E22" s="19"/>
      <x:c r="F22" s="19"/>
      <x:c r="G22" s="1"/>
      <x:c r="H22" s="30" t="s">
        <x:v>221</x:v>
      </x:c>
      <x:c r="I22" s="30" t="s">
        <x:v>196</x:v>
      </x:c>
      <x:c r="J22" s="10"/>
      <x:c r="K22" s="36">
        <x:v>45689</x:v>
      </x:c>
      <x:c r="L22" s="1" t="s">
        <x:v>152</x:v>
      </x:c>
      <x:c r="M22" s="19"/>
      <x:c r="N22" s="19"/>
      <x:c r="O22" s="19"/>
      <x:c r="P22" s="19"/>
      <x:c r="Q22" s="19"/>
      <x:c r="R22" s="19"/>
      <x:c r="S22" s="19"/>
      <x:c r="T22" s="19"/>
      <x:c r="U22" s="1"/>
      <x:c r="V22" s="1"/>
      <x:c r="W22" s="1"/>
      <x:c r="X22" s="1"/>
      <x:c r="Y22" s="1"/>
      <x:c r="Z22" s="1"/>
      <x:c r="AA22" s="1"/>
      <x:c r="AB22" s="9"/>
      <x:c r="AC22" s="9"/>
      <x:c r="AD22" s="10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</x:row>
    <x:row r="23" spans="1:52">
      <x:c r="A23" s="10" t="s">
        <x:v>130</x:v>
      </x:c>
      <x:c r="B23" s="39" t="s">
        <x:v>109</x:v>
      </x:c>
      <x:c r="C23" s="19" t="s">
        <x:v>163</x:v>
      </x:c>
      <x:c r="D23" s="19"/>
      <x:c r="E23" s="19"/>
      <x:c r="F23" s="19"/>
      <x:c r="G23" s="1"/>
      <x:c r="H23" s="30" t="s">
        <x:v>221</x:v>
      </x:c>
      <x:c r="I23" s="30" t="s">
        <x:v>196</x:v>
      </x:c>
      <x:c r="J23" s="10"/>
      <x:c r="K23" s="35">
        <x:v>45689</x:v>
      </x:c>
      <x:c r="L23" s="1" t="s">
        <x:v>152</x:v>
      </x:c>
      <x:c r="M23" s="19"/>
      <x:c r="N23" s="19"/>
      <x:c r="O23" s="19"/>
      <x:c r="P23" s="19"/>
      <x:c r="Q23" s="19"/>
      <x:c r="R23" s="19"/>
      <x:c r="S23" s="19"/>
      <x:c r="T23" s="19"/>
      <x:c r="U23" s="1"/>
      <x:c r="V23" s="1"/>
      <x:c r="W23" s="1"/>
      <x:c r="X23" s="1"/>
      <x:c r="Y23" s="1"/>
      <x:c r="Z23" s="1"/>
      <x:c r="AA23" s="1"/>
      <x:c r="AB23" s="9"/>
      <x:c r="AC23" s="9"/>
      <x:c r="AD23" s="10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</x:row>
    <x:row r="24" spans="1:52">
      <x:c r="A24" s="10" t="s">
        <x:v>132</x:v>
      </x:c>
      <x:c r="B24" s="39" t="s">
        <x:v>228</x:v>
      </x:c>
      <x:c r="C24" s="19" t="s">
        <x:v>166</x:v>
      </x:c>
      <x:c r="D24" s="19"/>
      <x:c r="E24" s="19"/>
      <x:c r="F24" s="19"/>
      <x:c r="G24" s="1"/>
      <x:c r="H24" s="30" t="s">
        <x:v>221</x:v>
      </x:c>
      <x:c r="I24" s="30" t="s">
        <x:v>196</x:v>
      </x:c>
      <x:c r="J24" s="10"/>
      <x:c r="K24" s="36">
        <x:v>45689</x:v>
      </x:c>
      <x:c r="L24" s="1" t="s">
        <x:v>152</x:v>
      </x:c>
      <x:c r="M24" s="19"/>
      <x:c r="N24" s="19"/>
      <x:c r="O24" s="19"/>
      <x:c r="P24" s="19"/>
      <x:c r="Q24" s="19"/>
      <x:c r="R24" s="19"/>
      <x:c r="S24" s="19"/>
      <x:c r="T24" s="19"/>
      <x:c r="U24" s="1"/>
      <x:c r="V24" s="1"/>
      <x:c r="W24" s="1"/>
      <x:c r="X24" s="1"/>
      <x:c r="Y24" s="1"/>
      <x:c r="Z24" s="1"/>
      <x:c r="AA24" s="1"/>
      <x:c r="AB24" s="9"/>
      <x:c r="AC24" s="9"/>
      <x:c r="AD24" s="10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</x:row>
    <x:row r="25" spans="1:52">
      <x:c r="A25" s="10" t="s">
        <x:v>115</x:v>
      </x:c>
      <x:c r="B25" s="39" t="s">
        <x:v>226</x:v>
      </x:c>
      <x:c r="C25" s="19" t="s">
        <x:v>163</x:v>
      </x:c>
      <x:c r="D25" s="19"/>
      <x:c r="E25" s="19"/>
      <x:c r="F25" s="19"/>
      <x:c r="G25" s="1"/>
      <x:c r="H25" s="30" t="s">
        <x:v>221</x:v>
      </x:c>
      <x:c r="I25" s="30" t="s">
        <x:v>196</x:v>
      </x:c>
      <x:c r="J25" s="10"/>
      <x:c r="K25" s="35">
        <x:v>45689</x:v>
      </x:c>
      <x:c r="L25" s="1" t="s">
        <x:v>152</x:v>
      </x:c>
      <x:c r="M25" s="19"/>
      <x:c r="N25" s="19"/>
      <x:c r="O25" s="19"/>
      <x:c r="P25" s="19"/>
      <x:c r="Q25" s="19"/>
      <x:c r="R25" s="19"/>
      <x:c r="S25" s="19"/>
      <x:c r="T25" s="19"/>
      <x:c r="U25" s="1"/>
      <x:c r="V25" s="1"/>
      <x:c r="W25" s="1"/>
      <x:c r="X25" s="1"/>
      <x:c r="Y25" s="1"/>
      <x:c r="Z25" s="1"/>
      <x:c r="AA25" s="1"/>
      <x:c r="AB25" s="9"/>
      <x:c r="AC25" s="9"/>
      <x:c r="AD25" s="10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</x:row>
    <x:row r="26" spans="1:52">
      <x:c r="A26" s="10" t="s">
        <x:v>122</x:v>
      </x:c>
      <x:c r="B26" s="39" t="s">
        <x:v>154</x:v>
      </x:c>
      <x:c r="C26" s="19" t="s">
        <x:v>163</x:v>
      </x:c>
      <x:c r="D26" s="19"/>
      <x:c r="E26" s="19"/>
      <x:c r="F26" s="19"/>
      <x:c r="G26" s="1"/>
      <x:c r="H26" s="30" t="s">
        <x:v>221</x:v>
      </x:c>
      <x:c r="I26" s="30" t="s">
        <x:v>196</x:v>
      </x:c>
      <x:c r="J26" s="10"/>
      <x:c r="K26" s="36">
        <x:v>45689</x:v>
      </x:c>
      <x:c r="L26" s="1" t="s">
        <x:v>152</x:v>
      </x:c>
      <x:c r="M26" s="19"/>
      <x:c r="N26" s="19"/>
      <x:c r="O26" s="19"/>
      <x:c r="P26" s="19"/>
      <x:c r="Q26" s="19"/>
      <x:c r="R26" s="19"/>
      <x:c r="S26" s="19"/>
      <x:c r="T26" s="19"/>
      <x:c r="U26" s="1"/>
      <x:c r="V26" s="1"/>
      <x:c r="W26" s="1"/>
      <x:c r="X26" s="1"/>
      <x:c r="Y26" s="1"/>
      <x:c r="Z26" s="1"/>
      <x:c r="AA26" s="1"/>
      <x:c r="AB26" s="9"/>
      <x:c r="AC26" s="9"/>
      <x:c r="AD26" s="10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</x:row>
    <x:row r="27" spans="1:52">
      <x:c r="A27" s="10" t="s">
        <x:v>116</x:v>
      </x:c>
      <x:c r="B27" s="39" t="s">
        <x:v>239</x:v>
      </x:c>
      <x:c r="C27" s="19" t="s">
        <x:v>166</x:v>
      </x:c>
      <x:c r="D27" s="19"/>
      <x:c r="E27" s="19"/>
      <x:c r="F27" s="19"/>
      <x:c r="G27" s="1"/>
      <x:c r="H27" s="30" t="s">
        <x:v>221</x:v>
      </x:c>
      <x:c r="I27" s="30" t="s">
        <x:v>196</x:v>
      </x:c>
      <x:c r="J27" s="10"/>
      <x:c r="K27" s="35">
        <x:v>45689</x:v>
      </x:c>
      <x:c r="L27" s="1" t="s">
        <x:v>152</x:v>
      </x:c>
      <x:c r="M27" s="19"/>
      <x:c r="N27" s="19"/>
      <x:c r="O27" s="19"/>
      <x:c r="P27" s="19"/>
      <x:c r="Q27" s="19"/>
      <x:c r="R27" s="19"/>
      <x:c r="S27" s="19"/>
      <x:c r="T27" s="19"/>
      <x:c r="U27" s="1"/>
      <x:c r="V27" s="1"/>
      <x:c r="W27" s="1"/>
      <x:c r="X27" s="1"/>
      <x:c r="Y27" s="1"/>
      <x:c r="Z27" s="1"/>
      <x:c r="AA27" s="1"/>
      <x:c r="AB27" s="9"/>
      <x:c r="AC27" s="9"/>
      <x:c r="AD27" s="10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</x:row>
    <x:row r="28" spans="1:52">
      <x:c r="A28" s="10" t="s">
        <x:v>142</x:v>
      </x:c>
      <x:c r="B28" s="39" t="s">
        <x:v>240</x:v>
      </x:c>
      <x:c r="C28" s="19" t="s">
        <x:v>163</x:v>
      </x:c>
      <x:c r="D28" s="19"/>
      <x:c r="E28" s="19"/>
      <x:c r="F28" s="19"/>
      <x:c r="G28" s="1"/>
      <x:c r="H28" s="30" t="s">
        <x:v>221</x:v>
      </x:c>
      <x:c r="I28" s="30" t="s">
        <x:v>196</x:v>
      </x:c>
      <x:c r="J28" s="10"/>
      <x:c r="K28" s="36">
        <x:v>45689</x:v>
      </x:c>
      <x:c r="L28" s="1" t="s">
        <x:v>152</x:v>
      </x:c>
      <x:c r="M28" s="19"/>
      <x:c r="N28" s="19"/>
      <x:c r="O28" s="19"/>
      <x:c r="P28" s="19"/>
      <x:c r="Q28" s="19"/>
      <x:c r="R28" s="19"/>
      <x:c r="S28" s="19"/>
      <x:c r="T28" s="19"/>
      <x:c r="U28" s="1"/>
      <x:c r="V28" s="1"/>
      <x:c r="W28" s="1"/>
      <x:c r="X28" s="1"/>
      <x:c r="Y28" s="1"/>
      <x:c r="Z28" s="1"/>
      <x:c r="AA28" s="1"/>
      <x:c r="AB28" s="9"/>
      <x:c r="AC28" s="9"/>
      <x:c r="AD28" s="10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</x:row>
    <x:row r="29" spans="1:52">
      <x:c r="A29" s="10" t="s">
        <x:v>124</x:v>
      </x:c>
      <x:c r="B29" s="39" t="s">
        <x:v>248</x:v>
      </x:c>
      <x:c r="C29" s="19" t="s">
        <x:v>163</x:v>
      </x:c>
      <x:c r="D29" s="19"/>
      <x:c r="E29" s="19"/>
      <x:c r="F29" s="19"/>
      <x:c r="G29" s="1"/>
      <x:c r="H29" s="30" t="s">
        <x:v>221</x:v>
      </x:c>
      <x:c r="I29" s="30" t="s">
        <x:v>196</x:v>
      </x:c>
      <x:c r="J29" s="10"/>
      <x:c r="K29" s="35">
        <x:v>45689</x:v>
      </x:c>
      <x:c r="L29" s="1" t="s">
        <x:v>152</x:v>
      </x:c>
      <x:c r="M29" s="19"/>
      <x:c r="N29" s="19"/>
      <x:c r="O29" s="19"/>
      <x:c r="P29" s="19"/>
      <x:c r="Q29" s="19"/>
      <x:c r="R29" s="19"/>
      <x:c r="S29" s="19"/>
      <x:c r="T29" s="19"/>
      <x:c r="U29" s="1"/>
      <x:c r="V29" s="1"/>
      <x:c r="W29" s="1"/>
      <x:c r="X29" s="1"/>
      <x:c r="Y29" s="1"/>
      <x:c r="Z29" s="1"/>
      <x:c r="AA29" s="1"/>
      <x:c r="AB29" s="9"/>
      <x:c r="AC29" s="9"/>
      <x:c r="AD29" s="10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</x:row>
    <x:row r="30" spans="1:52" s="1" customFormat="1">
      <x:c r="A30" s="10" t="s">
        <x:v>91</x:v>
      </x:c>
      <x:c r="B30" s="25" t="s">
        <x:v>157</x:v>
      </x:c>
      <x:c r="C30" s="24" t="s">
        <x:v>163</x:v>
      </x:c>
      <x:c r="D30" s="24"/>
      <x:c r="E30" s="24"/>
      <x:c r="F30" s="24"/>
      <x:c r="G30" s="25" t="s">
        <x:v>171</x:v>
      </x:c>
      <x:c r="H30" s="24" t="s">
        <x:v>60</x:v>
      </x:c>
      <x:c r="I30" s="24" t="s">
        <x:v>196</x:v>
      </x:c>
      <x:c r="J30" s="23"/>
      <x:c r="K30" s="35">
        <x:v>46054</x:v>
      </x:c>
      <x:c r="L30" s="25" t="s">
        <x:v>89</x:v>
      </x:c>
      <x:c r="M30" s="27" t="s">
        <x:v>162</x:v>
      </x:c>
      <x:c r="N30" s="27" t="s">
        <x:v>162</x:v>
      </x:c>
      <x:c r="O30" s="27" t="s">
        <x:v>162</x:v>
      </x:c>
      <x:c r="P30" s="27" t="s">
        <x:v>162</x:v>
      </x:c>
      <x:c r="Q30" s="27" t="s">
        <x:v>162</x:v>
      </x:c>
      <x:c r="R30" s="27" t="s">
        <x:v>162</x:v>
      </x:c>
      <x:c r="S30" s="27" t="s">
        <x:v>162</x:v>
      </x:c>
      <x:c r="T30" s="27" t="s">
        <x:v>162</x:v>
      </x:c>
      <x:c r="U30" s="26"/>
      <x:c r="V30" s="26"/>
      <x:c r="W30" s="26"/>
      <x:c r="X30" s="26"/>
      <x:c r="Y30" s="26">
        <x:v>46124</x:v>
      </x:c>
      <x:c r="Z30" s="26"/>
      <x:c r="AA30" s="26"/>
      <x:c r="AB30" s="7"/>
      <x:c r="AC30" s="7"/>
      <x:c r="AD30" s="23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</x:row>
    <x:row r="31" spans="1:52" s="1" customFormat="1">
      <x:c r="A31" s="10" t="s">
        <x:v>81</x:v>
      </x:c>
      <x:c r="B31" s="25" t="s">
        <x:v>160</x:v>
      </x:c>
      <x:c r="C31" s="24" t="s">
        <x:v>163</x:v>
      </x:c>
      <x:c r="D31" s="24"/>
      <x:c r="E31" s="24"/>
      <x:c r="F31" s="24"/>
      <x:c r="G31" s="25" t="s">
        <x:v>171</x:v>
      </x:c>
      <x:c r="H31" s="28" t="s">
        <x:v>60</x:v>
      </x:c>
      <x:c r="I31" s="24" t="s">
        <x:v>196</x:v>
      </x:c>
      <x:c r="J31" s="23"/>
      <x:c r="K31" s="36">
        <x:v>46082</x:v>
      </x:c>
      <x:c r="L31" s="25" t="s">
        <x:v>89</x:v>
      </x:c>
      <x:c r="M31" s="27" t="s">
        <x:v>162</x:v>
      </x:c>
      <x:c r="N31" s="27" t="s">
        <x:v>162</x:v>
      </x:c>
      <x:c r="O31" s="27" t="s">
        <x:v>162</x:v>
      </x:c>
      <x:c r="P31" s="27" t="s">
        <x:v>162</x:v>
      </x:c>
      <x:c r="Q31" s="27" t="s">
        <x:v>162</x:v>
      </x:c>
      <x:c r="R31" s="27" t="s">
        <x:v>162</x:v>
      </x:c>
      <x:c r="S31" s="27" t="s">
        <x:v>162</x:v>
      </x:c>
      <x:c r="T31" s="27" t="s">
        <x:v>162</x:v>
      </x:c>
      <x:c r="U31" s="26"/>
      <x:c r="V31" s="26"/>
      <x:c r="W31" s="26"/>
      <x:c r="X31" s="26"/>
      <x:c r="Y31" s="26">
        <x:v>46124</x:v>
      </x:c>
      <x:c r="Z31" s="26"/>
      <x:c r="AA31" s="26"/>
      <x:c r="AB31" s="7"/>
      <x:c r="AC31" s="7"/>
      <x:c r="AD31" s="23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</x:row>
    <x:row r="32" spans="1:52" s="1" customFormat="1">
      <x:c r="A32" s="10" t="s">
        <x:v>50</x:v>
      </x:c>
      <x:c r="B32" s="25" t="s">
        <x:v>167</x:v>
      </x:c>
      <x:c r="C32" s="24" t="s">
        <x:v>166</x:v>
      </x:c>
      <x:c r="D32" s="24"/>
      <x:c r="E32" s="24"/>
      <x:c r="F32" s="24"/>
      <x:c r="G32" s="25" t="s">
        <x:v>158</x:v>
      </x:c>
      <x:c r="H32" s="28" t="s">
        <x:v>60</x:v>
      </x:c>
      <x:c r="I32" s="24" t="s">
        <x:v>196</x:v>
      </x:c>
      <x:c r="J32" s="23"/>
      <x:c r="K32" s="35">
        <x:v>45992</x:v>
      </x:c>
      <x:c r="L32" s="25" t="s">
        <x:v>89</x:v>
      </x:c>
      <x:c r="M32" s="27" t="s">
        <x:v>162</x:v>
      </x:c>
      <x:c r="N32" s="27" t="s">
        <x:v>162</x:v>
      </x:c>
      <x:c r="O32" s="27" t="s">
        <x:v>162</x:v>
      </x:c>
      <x:c r="P32" s="27" t="s">
        <x:v>162</x:v>
      </x:c>
      <x:c r="Q32" s="27" t="s">
        <x:v>162</x:v>
      </x:c>
      <x:c r="R32" s="27" t="s">
        <x:v>162</x:v>
      </x:c>
      <x:c r="S32" s="27" t="s">
        <x:v>162</x:v>
      </x:c>
      <x:c r="T32" s="27" t="s">
        <x:v>162</x:v>
      </x:c>
      <x:c r="U32" s="26"/>
      <x:c r="V32" s="26"/>
      <x:c r="W32" s="26"/>
      <x:c r="X32" s="26"/>
      <x:c r="Y32" s="26">
        <x:v>46201</x:v>
      </x:c>
      <x:c r="Z32" s="26"/>
      <x:c r="AA32" s="26"/>
      <x:c r="AB32" s="7"/>
      <x:c r="AC32" s="7"/>
      <x:c r="AD32" s="23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</x:row>
    <x:row r="33" spans="1:52">
      <x:c r="A33" s="10"/>
      <x:c r="B33" s="1"/>
      <x:c r="C33" s="19"/>
      <x:c r="D33" s="19"/>
      <x:c r="E33" s="19"/>
      <x:c r="F33" s="19"/>
      <x:c r="G33" s="1"/>
      <x:c r="H33" s="31"/>
      <x:c r="I33" s="30"/>
      <x:c r="J33" s="10"/>
      <x:c r="K33" s="1"/>
      <x:c r="L33" s="1"/>
      <x:c r="M33" s="19"/>
      <x:c r="N33" s="19"/>
      <x:c r="O33" s="19"/>
      <x:c r="P33" s="19"/>
      <x:c r="Q33" s="19"/>
      <x:c r="R33" s="19"/>
      <x:c r="S33" s="19"/>
      <x:c r="T33" s="19"/>
      <x:c r="U33" s="1"/>
      <x:c r="V33" s="1"/>
      <x:c r="W33" s="1"/>
      <x:c r="X33" s="1"/>
      <x:c r="Y33" s="1"/>
      <x:c r="Z33" s="1"/>
      <x:c r="AA33" s="1"/>
      <x:c r="AB33" s="9"/>
      <x:c r="AC33" s="9"/>
      <x:c r="AD33" s="10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</x:row>
    <x:row r="34" spans="1:52">
      <x:c r="A34" s="10"/>
      <x:c r="B34" s="1"/>
      <x:c r="C34" s="19"/>
      <x:c r="D34" s="19"/>
      <x:c r="E34" s="19"/>
      <x:c r="F34" s="19"/>
      <x:c r="G34" s="1"/>
      <x:c r="H34" s="31"/>
      <x:c r="I34" s="30"/>
      <x:c r="J34" s="10"/>
      <x:c r="K34" s="1"/>
      <x:c r="L34" s="1"/>
      <x:c r="M34" s="19"/>
      <x:c r="N34" s="19"/>
      <x:c r="O34" s="19"/>
      <x:c r="P34" s="19"/>
      <x:c r="Q34" s="19"/>
      <x:c r="R34" s="19"/>
      <x:c r="S34" s="19"/>
      <x:c r="T34" s="19"/>
      <x:c r="U34" s="1"/>
      <x:c r="V34" s="1"/>
      <x:c r="W34" s="1"/>
      <x:c r="X34" s="1"/>
      <x:c r="Y34" s="1"/>
      <x:c r="Z34" s="1"/>
      <x:c r="AA34" s="1"/>
      <x:c r="AB34" s="9"/>
      <x:c r="AC34" s="9"/>
      <x:c r="AD34" s="10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</x:row>
    <x:row r="35" spans="1:52">
      <x:c r="A35" s="10"/>
      <x:c r="B35" s="1"/>
      <x:c r="C35" s="19"/>
      <x:c r="D35" s="19"/>
      <x:c r="E35" s="19"/>
      <x:c r="F35" s="19"/>
      <x:c r="G35" s="1"/>
      <x:c r="H35" s="31"/>
      <x:c r="I35" s="30"/>
      <x:c r="J35" s="10"/>
      <x:c r="K35" s="1"/>
      <x:c r="L35" s="1"/>
      <x:c r="M35" s="19"/>
      <x:c r="N35" s="19"/>
      <x:c r="O35" s="19"/>
      <x:c r="P35" s="19"/>
      <x:c r="Q35" s="19"/>
      <x:c r="R35" s="19"/>
      <x:c r="S35" s="19"/>
      <x:c r="T35" s="19"/>
      <x:c r="U35" s="1"/>
      <x:c r="V35" s="1"/>
      <x:c r="W35" s="1"/>
      <x:c r="X35" s="1"/>
      <x:c r="Y35" s="1"/>
      <x:c r="Z35" s="1"/>
      <x:c r="AA35" s="1"/>
      <x:c r="AB35" s="9"/>
      <x:c r="AC35" s="9"/>
      <x:c r="AD35" s="10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</x:row>
    <x:row r="36" spans="1:52">
      <x:c r="A36" s="10"/>
      <x:c r="B36" s="1"/>
      <x:c r="C36" s="19"/>
      <x:c r="D36" s="19"/>
      <x:c r="E36" s="19"/>
      <x:c r="F36" s="19"/>
      <x:c r="G36" s="1"/>
      <x:c r="H36" s="31"/>
      <x:c r="I36" s="30"/>
      <x:c r="J36" s="10"/>
      <x:c r="K36" s="1"/>
      <x:c r="L36" s="1"/>
      <x:c r="M36" s="19"/>
      <x:c r="N36" s="19"/>
      <x:c r="O36" s="19"/>
      <x:c r="P36" s="19"/>
      <x:c r="Q36" s="19"/>
      <x:c r="R36" s="19"/>
      <x:c r="S36" s="19"/>
      <x:c r="T36" s="19"/>
      <x:c r="U36" s="1"/>
      <x:c r="V36" s="1"/>
      <x:c r="W36" s="1"/>
      <x:c r="X36" s="1"/>
      <x:c r="Y36" s="1"/>
      <x:c r="Z36" s="1"/>
      <x:c r="AA36" s="1"/>
      <x:c r="AB36" s="9"/>
      <x:c r="AC36" s="9"/>
      <x:c r="AD36" s="10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</x:row>
    <x:row r="37" spans="1:52">
      <x:c r="A37" s="10"/>
      <x:c r="B37" s="1"/>
      <x:c r="C37" s="19"/>
      <x:c r="D37" s="19"/>
      <x:c r="E37" s="19"/>
      <x:c r="F37" s="19"/>
      <x:c r="G37" s="1"/>
      <x:c r="H37" s="31"/>
      <x:c r="I37" s="30"/>
      <x:c r="J37" s="10"/>
      <x:c r="K37" s="1"/>
      <x:c r="L37" s="1"/>
      <x:c r="M37" s="19"/>
      <x:c r="N37" s="19"/>
      <x:c r="O37" s="19"/>
      <x:c r="P37" s="19"/>
      <x:c r="Q37" s="19"/>
      <x:c r="R37" s="19"/>
      <x:c r="S37" s="19"/>
      <x:c r="T37" s="19"/>
      <x:c r="U37" s="1"/>
      <x:c r="V37" s="1"/>
      <x:c r="W37" s="1"/>
      <x:c r="X37" s="1"/>
      <x:c r="Y37" s="1"/>
      <x:c r="Z37" s="1"/>
      <x:c r="AA37" s="1"/>
      <x:c r="AB37" s="9"/>
      <x:c r="AC37" s="9"/>
      <x:c r="AD37" s="10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</x:row>
    <x:row r="38" spans="1:52">
      <x:c r="A38" s="10"/>
      <x:c r="B38" s="1"/>
      <x:c r="C38" s="19"/>
      <x:c r="D38" s="19"/>
      <x:c r="E38" s="19"/>
      <x:c r="F38" s="19"/>
      <x:c r="G38" s="1"/>
      <x:c r="H38" s="31"/>
      <x:c r="I38" s="30"/>
      <x:c r="J38" s="10"/>
      <x:c r="K38" s="1"/>
      <x:c r="L38" s="1"/>
      <x:c r="M38" s="19"/>
      <x:c r="N38" s="19"/>
      <x:c r="O38" s="19"/>
      <x:c r="P38" s="19"/>
      <x:c r="Q38" s="19"/>
      <x:c r="R38" s="19"/>
      <x:c r="S38" s="19"/>
      <x:c r="T38" s="19"/>
      <x:c r="U38" s="1"/>
      <x:c r="V38" s="1"/>
      <x:c r="W38" s="1"/>
      <x:c r="X38" s="1"/>
      <x:c r="Y38" s="1"/>
      <x:c r="Z38" s="1"/>
      <x:c r="AA38" s="1"/>
      <x:c r="AB38" s="9"/>
      <x:c r="AC38" s="9"/>
      <x:c r="AD38" s="10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</x:row>
    <x:row r="39" spans="1:52">
      <x:c r="A39" s="10"/>
      <x:c r="B39" s="1"/>
      <x:c r="C39" s="19"/>
      <x:c r="D39" s="19"/>
      <x:c r="E39" s="19"/>
      <x:c r="F39" s="19"/>
      <x:c r="G39" s="1"/>
      <x:c r="H39" s="31"/>
      <x:c r="I39" s="30"/>
      <x:c r="J39" s="10"/>
      <x:c r="K39" s="1"/>
      <x:c r="L39" s="1"/>
      <x:c r="M39" s="19"/>
      <x:c r="N39" s="19"/>
      <x:c r="O39" s="19"/>
      <x:c r="P39" s="19"/>
      <x:c r="Q39" s="19"/>
      <x:c r="R39" s="19"/>
      <x:c r="S39" s="19"/>
      <x:c r="T39" s="19"/>
      <x:c r="U39" s="1"/>
      <x:c r="V39" s="1"/>
      <x:c r="W39" s="1"/>
      <x:c r="X39" s="1"/>
      <x:c r="Y39" s="1"/>
      <x:c r="Z39" s="1"/>
      <x:c r="AA39" s="1"/>
      <x:c r="AB39" s="9"/>
      <x:c r="AC39" s="9"/>
      <x:c r="AD39" s="10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</x:row>
    <x:row r="40" spans="1:52">
      <x:c r="A40" s="10"/>
      <x:c r="B40" s="1"/>
      <x:c r="C40" s="19"/>
      <x:c r="D40" s="19"/>
      <x:c r="E40" s="19"/>
      <x:c r="F40" s="19"/>
      <x:c r="G40" s="1"/>
      <x:c r="H40" s="31"/>
      <x:c r="I40" s="30"/>
      <x:c r="J40" s="10"/>
      <x:c r="K40" s="1"/>
      <x:c r="L40" s="1"/>
      <x:c r="M40" s="19"/>
      <x:c r="N40" s="19"/>
      <x:c r="O40" s="19"/>
      <x:c r="P40" s="19"/>
      <x:c r="Q40" s="19"/>
      <x:c r="R40" s="19"/>
      <x:c r="S40" s="19"/>
      <x:c r="T40" s="19"/>
      <x:c r="U40" s="1"/>
      <x:c r="V40" s="1"/>
      <x:c r="W40" s="1"/>
      <x:c r="X40" s="1"/>
      <x:c r="Y40" s="1"/>
      <x:c r="Z40" s="1"/>
      <x:c r="AA40" s="1"/>
      <x:c r="AB40" s="9"/>
      <x:c r="AC40" s="9"/>
      <x:c r="AD40" s="10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</x:row>
    <x:row r="41" spans="1:52">
      <x:c r="A41" s="10"/>
      <x:c r="B41" s="1"/>
      <x:c r="C41" s="19"/>
      <x:c r="D41" s="19"/>
      <x:c r="E41" s="19"/>
      <x:c r="F41" s="19"/>
      <x:c r="G41" s="1"/>
      <x:c r="H41" s="31"/>
      <x:c r="I41" s="30"/>
      <x:c r="J41" s="10"/>
      <x:c r="K41" s="1"/>
      <x:c r="L41" s="1"/>
      <x:c r="M41" s="19"/>
      <x:c r="N41" s="19"/>
      <x:c r="O41" s="19"/>
      <x:c r="P41" s="19"/>
      <x:c r="Q41" s="19"/>
      <x:c r="R41" s="19"/>
      <x:c r="S41" s="19"/>
      <x:c r="T41" s="19"/>
      <x:c r="U41" s="1"/>
      <x:c r="V41" s="1"/>
      <x:c r="W41" s="1"/>
      <x:c r="X41" s="1"/>
      <x:c r="Y41" s="1"/>
      <x:c r="Z41" s="1"/>
      <x:c r="AA41" s="1"/>
      <x:c r="AB41" s="9"/>
      <x:c r="AC41" s="9"/>
      <x:c r="AD41" s="10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</x:row>
    <x:row r="42" spans="1:52">
      <x:c r="A42" s="10"/>
      <x:c r="B42" s="1"/>
      <x:c r="C42" s="19"/>
      <x:c r="D42" s="19"/>
      <x:c r="E42" s="19"/>
      <x:c r="F42" s="19"/>
      <x:c r="G42" s="1"/>
      <x:c r="H42" s="31"/>
      <x:c r="I42" s="30"/>
      <x:c r="J42" s="10"/>
      <x:c r="K42" s="1"/>
      <x:c r="L42" s="1"/>
      <x:c r="M42" s="19"/>
      <x:c r="N42" s="19"/>
      <x:c r="O42" s="19"/>
      <x:c r="P42" s="19"/>
      <x:c r="Q42" s="19"/>
      <x:c r="R42" s="19"/>
      <x:c r="S42" s="19"/>
      <x:c r="T42" s="19"/>
      <x:c r="U42" s="1"/>
      <x:c r="V42" s="1"/>
      <x:c r="W42" s="1"/>
      <x:c r="X42" s="1"/>
      <x:c r="Y42" s="1"/>
      <x:c r="Z42" s="1"/>
      <x:c r="AA42" s="1"/>
      <x:c r="AB42" s="9"/>
      <x:c r="AC42" s="9"/>
      <x:c r="AD42" s="10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</x:row>
    <x:row r="43" spans="1:52">
      <x:c r="A43" s="10"/>
      <x:c r="B43" s="1"/>
      <x:c r="C43" s="19"/>
      <x:c r="D43" s="19"/>
      <x:c r="E43" s="19"/>
      <x:c r="F43" s="19"/>
      <x:c r="G43" s="1"/>
      <x:c r="H43" s="31"/>
      <x:c r="I43" s="30"/>
      <x:c r="J43" s="10"/>
      <x:c r="K43" s="1"/>
      <x:c r="L43" s="1"/>
      <x:c r="M43" s="19"/>
      <x:c r="N43" s="19"/>
      <x:c r="O43" s="19"/>
      <x:c r="P43" s="19"/>
      <x:c r="Q43" s="19"/>
      <x:c r="R43" s="19"/>
      <x:c r="S43" s="19"/>
      <x:c r="T43" s="19"/>
      <x:c r="U43" s="1"/>
      <x:c r="V43" s="1"/>
      <x:c r="W43" s="1"/>
      <x:c r="X43" s="1"/>
      <x:c r="Y43" s="1"/>
      <x:c r="Z43" s="1"/>
      <x:c r="AA43" s="1"/>
      <x:c r="AB43" s="9"/>
      <x:c r="AC43" s="9"/>
      <x:c r="AD43" s="10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</x:row>
    <x:row r="44" spans="1:52">
      <x:c r="A44" s="10"/>
      <x:c r="B44" s="1"/>
      <x:c r="C44" s="19"/>
      <x:c r="D44" s="19"/>
      <x:c r="E44" s="19"/>
      <x:c r="F44" s="19"/>
      <x:c r="G44" s="1"/>
      <x:c r="H44" s="31"/>
      <x:c r="I44" s="30"/>
      <x:c r="J44" s="10"/>
      <x:c r="K44" s="1"/>
      <x:c r="L44" s="1"/>
      <x:c r="M44" s="19"/>
      <x:c r="N44" s="19"/>
      <x:c r="O44" s="19"/>
      <x:c r="P44" s="19"/>
      <x:c r="Q44" s="19"/>
      <x:c r="R44" s="19"/>
      <x:c r="S44" s="19"/>
      <x:c r="T44" s="19"/>
      <x:c r="U44" s="1"/>
      <x:c r="V44" s="1"/>
      <x:c r="W44" s="1"/>
      <x:c r="X44" s="1"/>
      <x:c r="Y44" s="1"/>
      <x:c r="Z44" s="1"/>
      <x:c r="AA44" s="1"/>
      <x:c r="AB44" s="9"/>
      <x:c r="AC44" s="9"/>
      <x:c r="AD44" s="10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</x:row>
    <x:row r="45" spans="1:52">
      <x:c r="A45" s="10"/>
      <x:c r="B45" s="1"/>
      <x:c r="C45" s="19"/>
      <x:c r="D45" s="19"/>
      <x:c r="E45" s="19"/>
      <x:c r="F45" s="19"/>
      <x:c r="G45" s="1"/>
      <x:c r="H45" s="31"/>
      <x:c r="I45" s="30"/>
      <x:c r="J45" s="10"/>
      <x:c r="K45" s="1"/>
      <x:c r="L45" s="1"/>
      <x:c r="M45" s="19"/>
      <x:c r="N45" s="19"/>
      <x:c r="O45" s="19"/>
      <x:c r="P45" s="19"/>
      <x:c r="Q45" s="19"/>
      <x:c r="R45" s="19"/>
      <x:c r="S45" s="19"/>
      <x:c r="T45" s="19"/>
      <x:c r="U45" s="1"/>
      <x:c r="V45" s="1"/>
      <x:c r="W45" s="1"/>
      <x:c r="X45" s="1"/>
      <x:c r="Y45" s="1"/>
      <x:c r="Z45" s="1"/>
      <x:c r="AA45" s="1"/>
      <x:c r="AB45" s="9"/>
      <x:c r="AC45" s="9"/>
      <x:c r="AD45" s="10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</x:row>
    <x:row r="46" spans="1:52">
      <x:c r="A46" s="10"/>
      <x:c r="B46" s="1"/>
      <x:c r="C46" s="19"/>
      <x:c r="D46" s="19"/>
      <x:c r="E46" s="19"/>
      <x:c r="F46" s="19"/>
      <x:c r="G46" s="1"/>
      <x:c r="H46" s="31"/>
      <x:c r="I46" s="30"/>
      <x:c r="J46" s="10"/>
      <x:c r="K46" s="1"/>
      <x:c r="L46" s="1"/>
      <x:c r="M46" s="19"/>
      <x:c r="N46" s="19"/>
      <x:c r="O46" s="19"/>
      <x:c r="P46" s="19"/>
      <x:c r="Q46" s="19"/>
      <x:c r="R46" s="19"/>
      <x:c r="S46" s="19"/>
      <x:c r="T46" s="19"/>
      <x:c r="U46" s="1"/>
      <x:c r="V46" s="1"/>
      <x:c r="W46" s="1"/>
      <x:c r="X46" s="1"/>
      <x:c r="Y46" s="1"/>
      <x:c r="Z46" s="1"/>
      <x:c r="AA46" s="1"/>
      <x:c r="AB46" s="9"/>
      <x:c r="AC46" s="9"/>
      <x:c r="AD46" s="10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</x:row>
    <x:row r="47" spans="1:52">
      <x:c r="A47" s="10"/>
      <x:c r="B47" s="1"/>
      <x:c r="C47" s="19"/>
      <x:c r="D47" s="19"/>
      <x:c r="E47" s="19"/>
      <x:c r="F47" s="19"/>
      <x:c r="G47" s="1"/>
      <x:c r="H47" s="31"/>
      <x:c r="I47" s="30"/>
      <x:c r="J47" s="10"/>
      <x:c r="K47" s="1"/>
      <x:c r="L47" s="1"/>
      <x:c r="M47" s="19"/>
      <x:c r="N47" s="19"/>
      <x:c r="O47" s="19"/>
      <x:c r="P47" s="19"/>
      <x:c r="Q47" s="19"/>
      <x:c r="R47" s="19"/>
      <x:c r="S47" s="19"/>
      <x:c r="T47" s="19"/>
      <x:c r="U47" s="1"/>
      <x:c r="V47" s="1"/>
      <x:c r="W47" s="1"/>
      <x:c r="X47" s="1"/>
      <x:c r="Y47" s="1"/>
      <x:c r="Z47" s="1"/>
      <x:c r="AA47" s="1"/>
      <x:c r="AB47" s="9"/>
      <x:c r="AC47" s="9"/>
      <x:c r="AD47" s="10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</x:row>
    <x:row r="48" spans="1:52">
      <x:c r="A48" s="10"/>
      <x:c r="B48" s="1"/>
      <x:c r="C48" s="19"/>
      <x:c r="D48" s="19"/>
      <x:c r="E48" s="19"/>
      <x:c r="F48" s="19"/>
      <x:c r="G48" s="1"/>
      <x:c r="H48" s="31"/>
      <x:c r="I48" s="30"/>
      <x:c r="J48" s="10"/>
      <x:c r="K48" s="1"/>
      <x:c r="L48" s="1"/>
      <x:c r="M48" s="19"/>
      <x:c r="N48" s="19"/>
      <x:c r="O48" s="19"/>
      <x:c r="P48" s="19"/>
      <x:c r="Q48" s="19"/>
      <x:c r="R48" s="19"/>
      <x:c r="S48" s="19"/>
      <x:c r="T48" s="19"/>
      <x:c r="U48" s="1"/>
      <x:c r="V48" s="1"/>
      <x:c r="W48" s="1"/>
      <x:c r="X48" s="1"/>
      <x:c r="Y48" s="1"/>
      <x:c r="Z48" s="1"/>
      <x:c r="AA48" s="1"/>
      <x:c r="AB48" s="9"/>
      <x:c r="AC48" s="9"/>
      <x:c r="AD48" s="10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</x:row>
    <x:row r="49" spans="1:52">
      <x:c r="A49" s="10"/>
      <x:c r="B49" s="1"/>
      <x:c r="C49" s="19"/>
      <x:c r="D49" s="19"/>
      <x:c r="E49" s="19"/>
      <x:c r="F49" s="19"/>
      <x:c r="G49" s="1"/>
      <x:c r="H49" s="31"/>
      <x:c r="I49" s="30"/>
      <x:c r="J49" s="10"/>
      <x:c r="K49" s="1"/>
      <x:c r="L49" s="1"/>
      <x:c r="M49" s="19"/>
      <x:c r="N49" s="19"/>
      <x:c r="O49" s="19"/>
      <x:c r="P49" s="19"/>
      <x:c r="Q49" s="19"/>
      <x:c r="R49" s="19"/>
      <x:c r="S49" s="19"/>
      <x:c r="T49" s="19"/>
      <x:c r="U49" s="1"/>
      <x:c r="V49" s="1"/>
      <x:c r="W49" s="1"/>
      <x:c r="X49" s="1"/>
      <x:c r="Y49" s="1"/>
      <x:c r="Z49" s="1"/>
      <x:c r="AA49" s="1"/>
      <x:c r="AB49" s="9"/>
      <x:c r="AC49" s="9"/>
      <x:c r="AD49" s="10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</x:row>
    <x:row r="50" spans="1:52">
      <x:c r="A50" s="10"/>
      <x:c r="B50" s="1"/>
      <x:c r="C50" s="19"/>
      <x:c r="D50" s="19"/>
      <x:c r="E50" s="19"/>
      <x:c r="F50" s="19"/>
      <x:c r="G50" s="1"/>
      <x:c r="H50" s="31"/>
      <x:c r="I50" s="30"/>
      <x:c r="J50" s="10"/>
      <x:c r="K50" s="1"/>
      <x:c r="L50" s="1"/>
      <x:c r="M50" s="19"/>
      <x:c r="N50" s="19"/>
      <x:c r="O50" s="19"/>
      <x:c r="P50" s="19"/>
      <x:c r="Q50" s="19"/>
      <x:c r="R50" s="19"/>
      <x:c r="S50" s="19"/>
      <x:c r="T50" s="19"/>
      <x:c r="U50" s="1"/>
      <x:c r="V50" s="1"/>
      <x:c r="W50" s="1"/>
      <x:c r="X50" s="1"/>
      <x:c r="Y50" s="1"/>
      <x:c r="Z50" s="1"/>
      <x:c r="AA50" s="1"/>
      <x:c r="AB50" s="9"/>
      <x:c r="AC50" s="9"/>
      <x:c r="AD50" s="10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</x:row>
    <x:row r="51" spans="1:52">
      <x:c r="A51" s="10"/>
      <x:c r="B51" s="1"/>
      <x:c r="C51" s="19"/>
      <x:c r="D51" s="19"/>
      <x:c r="E51" s="19"/>
      <x:c r="F51" s="19"/>
      <x:c r="G51" s="1"/>
      <x:c r="H51" s="31"/>
      <x:c r="I51" s="30"/>
      <x:c r="J51" s="10"/>
      <x:c r="K51" s="1"/>
      <x:c r="L51" s="1"/>
      <x:c r="M51" s="19"/>
      <x:c r="N51" s="19"/>
      <x:c r="O51" s="19"/>
      <x:c r="P51" s="19"/>
      <x:c r="Q51" s="19"/>
      <x:c r="R51" s="19"/>
      <x:c r="S51" s="19"/>
      <x:c r="T51" s="19"/>
      <x:c r="U51" s="1"/>
      <x:c r="V51" s="1"/>
      <x:c r="W51" s="1"/>
      <x:c r="X51" s="1"/>
      <x:c r="Y51" s="1"/>
      <x:c r="Z51" s="1"/>
      <x:c r="AA51" s="1"/>
      <x:c r="AB51" s="9"/>
      <x:c r="AC51" s="9"/>
      <x:c r="AD51" s="10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</x:row>
    <x:row r="52" spans="1:52">
      <x:c r="A52" s="10"/>
      <x:c r="B52" s="1"/>
      <x:c r="C52" s="19"/>
      <x:c r="D52" s="19"/>
      <x:c r="E52" s="19"/>
      <x:c r="F52" s="19"/>
      <x:c r="G52" s="1"/>
      <x:c r="H52" s="31"/>
      <x:c r="I52" s="30"/>
      <x:c r="J52" s="10"/>
      <x:c r="K52" s="1"/>
      <x:c r="L52" s="1"/>
      <x:c r="M52" s="19"/>
      <x:c r="N52" s="19"/>
      <x:c r="O52" s="19"/>
      <x:c r="P52" s="19"/>
      <x:c r="Q52" s="19"/>
      <x:c r="R52" s="19"/>
      <x:c r="S52" s="19"/>
      <x:c r="T52" s="19"/>
      <x:c r="U52" s="1"/>
      <x:c r="V52" s="1"/>
      <x:c r="W52" s="1"/>
      <x:c r="X52" s="1"/>
      <x:c r="Y52" s="1"/>
      <x:c r="Z52" s="1"/>
      <x:c r="AA52" s="1"/>
      <x:c r="AB52" s="9"/>
      <x:c r="AC52" s="9"/>
      <x:c r="AD52" s="10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</x:row>
    <x:row r="53" spans="1:52">
      <x:c r="A53" s="10"/>
      <x:c r="B53" s="1"/>
      <x:c r="C53" s="19"/>
      <x:c r="D53" s="19"/>
      <x:c r="E53" s="19"/>
      <x:c r="F53" s="19"/>
      <x:c r="G53" s="1"/>
      <x:c r="H53" s="31"/>
      <x:c r="I53" s="30"/>
      <x:c r="J53" s="10"/>
      <x:c r="K53" s="1"/>
      <x:c r="L53" s="1"/>
      <x:c r="M53" s="19"/>
      <x:c r="N53" s="19"/>
      <x:c r="O53" s="19"/>
      <x:c r="P53" s="19"/>
      <x:c r="Q53" s="19"/>
      <x:c r="R53" s="19"/>
      <x:c r="S53" s="19"/>
      <x:c r="T53" s="19"/>
      <x:c r="U53" s="1"/>
      <x:c r="V53" s="1"/>
      <x:c r="W53" s="1"/>
      <x:c r="X53" s="1"/>
      <x:c r="Y53" s="1"/>
      <x:c r="Z53" s="1"/>
      <x:c r="AA53" s="1"/>
      <x:c r="AB53" s="9"/>
      <x:c r="AC53" s="9"/>
      <x:c r="AD53" s="10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</x:row>
    <x:row r="54" spans="1:52">
      <x:c r="A54" s="10"/>
      <x:c r="B54" s="1"/>
      <x:c r="C54" s="19"/>
      <x:c r="D54" s="19"/>
      <x:c r="E54" s="19"/>
      <x:c r="F54" s="19"/>
      <x:c r="G54" s="1"/>
      <x:c r="H54" s="31"/>
      <x:c r="I54" s="30"/>
      <x:c r="J54" s="10"/>
      <x:c r="K54" s="1"/>
      <x:c r="L54" s="1"/>
      <x:c r="M54" s="19"/>
      <x:c r="N54" s="19"/>
      <x:c r="O54" s="19"/>
      <x:c r="P54" s="19"/>
      <x:c r="Q54" s="19"/>
      <x:c r="R54" s="19"/>
      <x:c r="S54" s="19"/>
      <x:c r="T54" s="19"/>
      <x:c r="U54" s="1"/>
      <x:c r="V54" s="1"/>
      <x:c r="W54" s="1"/>
      <x:c r="X54" s="1"/>
      <x:c r="Y54" s="1"/>
      <x:c r="Z54" s="1"/>
      <x:c r="AA54" s="1"/>
      <x:c r="AB54" s="9"/>
      <x:c r="AC54" s="9"/>
      <x:c r="AD54" s="10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</x:row>
    <x:row r="55" spans="1:52">
      <x:c r="A55" s="10"/>
      <x:c r="B55" s="1"/>
      <x:c r="C55" s="19"/>
      <x:c r="D55" s="19"/>
      <x:c r="E55" s="19"/>
      <x:c r="F55" s="19"/>
      <x:c r="G55" s="1"/>
      <x:c r="H55" s="31"/>
      <x:c r="I55" s="30"/>
      <x:c r="J55" s="10"/>
      <x:c r="K55" s="1"/>
      <x:c r="L55" s="1"/>
      <x:c r="M55" s="19"/>
      <x:c r="N55" s="19"/>
      <x:c r="O55" s="19"/>
      <x:c r="P55" s="19"/>
      <x:c r="Q55" s="19"/>
      <x:c r="R55" s="19"/>
      <x:c r="S55" s="19"/>
      <x:c r="T55" s="19"/>
      <x:c r="U55" s="1"/>
      <x:c r="V55" s="1"/>
      <x:c r="W55" s="1"/>
      <x:c r="X55" s="1"/>
      <x:c r="Y55" s="1"/>
      <x:c r="Z55" s="1"/>
      <x:c r="AA55" s="1"/>
      <x:c r="AB55" s="9"/>
      <x:c r="AC55" s="9"/>
      <x:c r="AD55" s="10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</x:row>
    <x:row r="56" spans="1:52">
      <x:c r="A56" s="10"/>
      <x:c r="B56" s="1"/>
      <x:c r="C56" s="19"/>
      <x:c r="D56" s="19"/>
      <x:c r="E56" s="19"/>
      <x:c r="F56" s="19"/>
      <x:c r="G56" s="1"/>
      <x:c r="H56" s="31"/>
      <x:c r="I56" s="30"/>
      <x:c r="J56" s="10"/>
      <x:c r="K56" s="1"/>
      <x:c r="L56" s="1"/>
      <x:c r="M56" s="19"/>
      <x:c r="N56" s="19"/>
      <x:c r="O56" s="19"/>
      <x:c r="P56" s="19"/>
      <x:c r="Q56" s="19"/>
      <x:c r="R56" s="19"/>
      <x:c r="S56" s="19"/>
      <x:c r="T56" s="19"/>
      <x:c r="U56" s="1"/>
      <x:c r="V56" s="1"/>
      <x:c r="W56" s="1"/>
      <x:c r="X56" s="1"/>
      <x:c r="Y56" s="1"/>
      <x:c r="Z56" s="1"/>
      <x:c r="AA56" s="1"/>
      <x:c r="AB56" s="9"/>
      <x:c r="AC56" s="9"/>
      <x:c r="AD56" s="10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</x:row>
    <x:row r="57" spans="1:52">
      <x:c r="A57" s="10"/>
      <x:c r="B57" s="1"/>
      <x:c r="C57" s="19"/>
      <x:c r="D57" s="19"/>
      <x:c r="E57" s="19"/>
      <x:c r="F57" s="19"/>
      <x:c r="G57" s="1"/>
      <x:c r="H57" s="31"/>
      <x:c r="I57" s="30"/>
      <x:c r="J57" s="10"/>
      <x:c r="K57" s="1"/>
      <x:c r="L57" s="1"/>
      <x:c r="M57" s="19"/>
      <x:c r="N57" s="19"/>
      <x:c r="O57" s="19"/>
      <x:c r="P57" s="19"/>
      <x:c r="Q57" s="19"/>
      <x:c r="R57" s="19"/>
      <x:c r="S57" s="19"/>
      <x:c r="T57" s="19"/>
      <x:c r="U57" s="1"/>
      <x:c r="V57" s="1"/>
      <x:c r="W57" s="1"/>
      <x:c r="X57" s="1"/>
      <x:c r="Y57" s="1"/>
      <x:c r="Z57" s="1"/>
      <x:c r="AA57" s="1"/>
      <x:c r="AB57" s="9"/>
      <x:c r="AC57" s="9"/>
      <x:c r="AD57" s="10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</x:row>
    <x:row r="58" spans="1:52">
      <x:c r="A58" s="10"/>
      <x:c r="B58" s="1"/>
      <x:c r="C58" s="19"/>
      <x:c r="D58" s="19"/>
      <x:c r="E58" s="19"/>
      <x:c r="F58" s="19"/>
      <x:c r="G58" s="1"/>
      <x:c r="H58" s="31"/>
      <x:c r="I58" s="30"/>
      <x:c r="J58" s="10"/>
      <x:c r="K58" s="1"/>
      <x:c r="L58" s="1"/>
      <x:c r="M58" s="19"/>
      <x:c r="N58" s="19"/>
      <x:c r="O58" s="19"/>
      <x:c r="P58" s="19"/>
      <x:c r="Q58" s="19"/>
      <x:c r="R58" s="19"/>
      <x:c r="S58" s="19"/>
      <x:c r="T58" s="19"/>
      <x:c r="U58" s="1"/>
      <x:c r="V58" s="1"/>
      <x:c r="W58" s="1"/>
      <x:c r="X58" s="1"/>
      <x:c r="Y58" s="1"/>
      <x:c r="Z58" s="1"/>
      <x:c r="AA58" s="1"/>
      <x:c r="AB58" s="9"/>
      <x:c r="AC58" s="9"/>
      <x:c r="AD58" s="10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</x:row>
    <x:row r="59" spans="1:52">
      <x:c r="A59" s="10"/>
      <x:c r="B59" s="1"/>
      <x:c r="C59" s="19"/>
      <x:c r="D59" s="19"/>
      <x:c r="E59" s="19"/>
      <x:c r="F59" s="19"/>
      <x:c r="G59" s="1"/>
      <x:c r="H59" s="31"/>
      <x:c r="I59" s="30"/>
      <x:c r="J59" s="10"/>
      <x:c r="K59" s="1"/>
      <x:c r="L59" s="1"/>
      <x:c r="M59" s="19"/>
      <x:c r="N59" s="19"/>
      <x:c r="O59" s="19"/>
      <x:c r="P59" s="19"/>
      <x:c r="Q59" s="19"/>
      <x:c r="R59" s="19"/>
      <x:c r="S59" s="19"/>
      <x:c r="T59" s="19"/>
      <x:c r="U59" s="1"/>
      <x:c r="V59" s="1"/>
      <x:c r="W59" s="1"/>
      <x:c r="X59" s="1"/>
      <x:c r="Y59" s="1"/>
      <x:c r="Z59" s="1"/>
      <x:c r="AA59" s="1"/>
      <x:c r="AB59" s="9"/>
      <x:c r="AC59" s="9"/>
      <x:c r="AD59" s="10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</x:row>
    <x:row r="60" spans="1:52">
      <x:c r="A60" s="10"/>
      <x:c r="B60" s="1"/>
      <x:c r="C60" s="19"/>
      <x:c r="D60" s="19"/>
      <x:c r="E60" s="19"/>
      <x:c r="F60" s="19"/>
      <x:c r="G60" s="1"/>
      <x:c r="H60" s="31"/>
      <x:c r="I60" s="30"/>
      <x:c r="J60" s="10"/>
      <x:c r="K60" s="1"/>
      <x:c r="L60" s="1"/>
      <x:c r="M60" s="19"/>
      <x:c r="N60" s="19"/>
      <x:c r="O60" s="19"/>
      <x:c r="P60" s="19"/>
      <x:c r="Q60" s="19"/>
      <x:c r="R60" s="19"/>
      <x:c r="S60" s="19"/>
      <x:c r="T60" s="19"/>
      <x:c r="U60" s="1"/>
      <x:c r="V60" s="1"/>
      <x:c r="W60" s="1"/>
      <x:c r="X60" s="1"/>
      <x:c r="Y60" s="1"/>
      <x:c r="Z60" s="1"/>
      <x:c r="AA60" s="1"/>
      <x:c r="AB60" s="9"/>
      <x:c r="AC60" s="9"/>
      <x:c r="AD60" s="10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</x:row>
    <x:row r="61" spans="1:52">
      <x:c r="A61" s="10"/>
      <x:c r="B61" s="1"/>
      <x:c r="C61" s="19"/>
      <x:c r="D61" s="19"/>
      <x:c r="E61" s="19"/>
      <x:c r="F61" s="19"/>
      <x:c r="G61" s="1"/>
      <x:c r="H61" s="31"/>
      <x:c r="I61" s="30"/>
      <x:c r="J61" s="10"/>
      <x:c r="K61" s="1"/>
      <x:c r="L61" s="1"/>
      <x:c r="M61" s="19"/>
      <x:c r="N61" s="19"/>
      <x:c r="O61" s="19"/>
      <x:c r="P61" s="19"/>
      <x:c r="Q61" s="19"/>
      <x:c r="R61" s="19"/>
      <x:c r="S61" s="19"/>
      <x:c r="T61" s="19"/>
      <x:c r="U61" s="1"/>
      <x:c r="V61" s="1"/>
      <x:c r="W61" s="1"/>
      <x:c r="X61" s="1"/>
      <x:c r="Y61" s="1"/>
      <x:c r="Z61" s="1"/>
      <x:c r="AA61" s="1"/>
      <x:c r="AB61" s="9"/>
      <x:c r="AC61" s="9"/>
      <x:c r="AD61" s="10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</x:row>
    <x:row r="62" spans="1:52">
      <x:c r="A62" s="10"/>
      <x:c r="B62" s="1"/>
      <x:c r="C62" s="19"/>
      <x:c r="D62" s="19"/>
      <x:c r="E62" s="19"/>
      <x:c r="F62" s="19"/>
      <x:c r="G62" s="1"/>
      <x:c r="H62" s="31"/>
      <x:c r="I62" s="30"/>
      <x:c r="J62" s="10"/>
      <x:c r="K62" s="1"/>
      <x:c r="L62" s="1"/>
      <x:c r="M62" s="19"/>
      <x:c r="N62" s="19"/>
      <x:c r="O62" s="19"/>
      <x:c r="P62" s="19"/>
      <x:c r="Q62" s="19"/>
      <x:c r="R62" s="19"/>
      <x:c r="S62" s="19"/>
      <x:c r="T62" s="19"/>
      <x:c r="U62" s="1"/>
      <x:c r="V62" s="1"/>
      <x:c r="W62" s="1"/>
      <x:c r="X62" s="1"/>
      <x:c r="Y62" s="1"/>
      <x:c r="Z62" s="1"/>
      <x:c r="AA62" s="1"/>
      <x:c r="AB62" s="9"/>
      <x:c r="AC62" s="9"/>
      <x:c r="AD62" s="10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</x:row>
    <x:row r="63" spans="1:52">
      <x:c r="A63" s="10"/>
      <x:c r="B63" s="1"/>
      <x:c r="C63" s="19"/>
      <x:c r="D63" s="19"/>
      <x:c r="E63" s="19"/>
      <x:c r="F63" s="19"/>
      <x:c r="G63" s="1"/>
      <x:c r="H63" s="31"/>
      <x:c r="I63" s="30"/>
      <x:c r="J63" s="10"/>
      <x:c r="K63" s="1"/>
      <x:c r="L63" s="1"/>
      <x:c r="M63" s="19"/>
      <x:c r="N63" s="19"/>
      <x:c r="O63" s="19"/>
      <x:c r="P63" s="19"/>
      <x:c r="Q63" s="19"/>
      <x:c r="R63" s="19"/>
      <x:c r="S63" s="19"/>
      <x:c r="T63" s="19"/>
      <x:c r="U63" s="1"/>
      <x:c r="V63" s="1"/>
      <x:c r="W63" s="1"/>
      <x:c r="X63" s="1"/>
      <x:c r="Y63" s="1"/>
      <x:c r="Z63" s="1"/>
      <x:c r="AA63" s="1"/>
      <x:c r="AB63" s="9"/>
      <x:c r="AC63" s="9"/>
      <x:c r="AD63" s="10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</x:row>
    <x:row r="64" spans="1:52">
      <x:c r="A64" s="10"/>
      <x:c r="B64" s="1"/>
      <x:c r="C64" s="19"/>
      <x:c r="D64" s="19"/>
      <x:c r="E64" s="19"/>
      <x:c r="F64" s="19"/>
      <x:c r="G64" s="1"/>
      <x:c r="H64" s="31"/>
      <x:c r="I64" s="30"/>
      <x:c r="J64" s="10"/>
      <x:c r="K64" s="1"/>
      <x:c r="L64" s="1"/>
      <x:c r="M64" s="19"/>
      <x:c r="N64" s="19"/>
      <x:c r="O64" s="19"/>
      <x:c r="P64" s="19"/>
      <x:c r="Q64" s="19"/>
      <x:c r="R64" s="19"/>
      <x:c r="S64" s="19"/>
      <x:c r="T64" s="19"/>
      <x:c r="U64" s="1"/>
      <x:c r="V64" s="1"/>
      <x:c r="W64" s="1"/>
      <x:c r="X64" s="1"/>
      <x:c r="Y64" s="1"/>
      <x:c r="Z64" s="1"/>
      <x:c r="AA64" s="1"/>
      <x:c r="AB64" s="9"/>
      <x:c r="AC64" s="9"/>
      <x:c r="AD64" s="10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</x:row>
    <x:row r="65" spans="1:52">
      <x:c r="A65" s="10"/>
      <x:c r="B65" s="1"/>
      <x:c r="C65" s="19"/>
      <x:c r="D65" s="19"/>
      <x:c r="E65" s="19"/>
      <x:c r="F65" s="19"/>
      <x:c r="G65" s="1"/>
      <x:c r="H65" s="31"/>
      <x:c r="I65" s="30"/>
      <x:c r="J65" s="10"/>
      <x:c r="K65" s="1"/>
      <x:c r="L65" s="1"/>
      <x:c r="M65" s="19"/>
      <x:c r="N65" s="19"/>
      <x:c r="O65" s="19"/>
      <x:c r="P65" s="19"/>
      <x:c r="Q65" s="19"/>
      <x:c r="R65" s="19"/>
      <x:c r="S65" s="19"/>
      <x:c r="T65" s="19"/>
      <x:c r="U65" s="1"/>
      <x:c r="V65" s="1"/>
      <x:c r="W65" s="1"/>
      <x:c r="X65" s="1"/>
      <x:c r="Y65" s="1"/>
      <x:c r="Z65" s="1"/>
      <x:c r="AA65" s="1"/>
      <x:c r="AB65" s="9"/>
      <x:c r="AC65" s="9"/>
      <x:c r="AD65" s="10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</x:row>
    <x:row r="66" spans="1:52">
      <x:c r="A66" s="10"/>
      <x:c r="B66" s="1"/>
      <x:c r="C66" s="19"/>
      <x:c r="D66" s="19"/>
      <x:c r="E66" s="19"/>
      <x:c r="F66" s="19"/>
      <x:c r="G66" s="1"/>
      <x:c r="H66" s="31"/>
      <x:c r="I66" s="30"/>
      <x:c r="J66" s="10"/>
      <x:c r="K66" s="1"/>
      <x:c r="L66" s="1"/>
      <x:c r="M66" s="19"/>
      <x:c r="N66" s="19"/>
      <x:c r="O66" s="19"/>
      <x:c r="P66" s="19"/>
      <x:c r="Q66" s="19"/>
      <x:c r="R66" s="19"/>
      <x:c r="S66" s="19"/>
      <x:c r="T66" s="19"/>
      <x:c r="U66" s="1"/>
      <x:c r="V66" s="1"/>
      <x:c r="W66" s="1"/>
      <x:c r="X66" s="1"/>
      <x:c r="Y66" s="1"/>
      <x:c r="Z66" s="1"/>
      <x:c r="AA66" s="1"/>
      <x:c r="AB66" s="9"/>
      <x:c r="AC66" s="9"/>
      <x:c r="AD66" s="10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</x:row>
    <x:row r="67" spans="1:52">
      <x:c r="A67" s="10"/>
      <x:c r="B67" s="1"/>
      <x:c r="C67" s="19"/>
      <x:c r="D67" s="19"/>
      <x:c r="E67" s="19"/>
      <x:c r="F67" s="19"/>
      <x:c r="G67" s="1"/>
      <x:c r="H67" s="31"/>
      <x:c r="I67" s="30"/>
      <x:c r="J67" s="10"/>
      <x:c r="K67" s="1"/>
      <x:c r="L67" s="1"/>
      <x:c r="M67" s="19"/>
      <x:c r="N67" s="19"/>
      <x:c r="O67" s="19"/>
      <x:c r="P67" s="19"/>
      <x:c r="Q67" s="19"/>
      <x:c r="R67" s="19"/>
      <x:c r="S67" s="19"/>
      <x:c r="T67" s="19"/>
      <x:c r="U67" s="1"/>
      <x:c r="V67" s="1"/>
      <x:c r="W67" s="1"/>
      <x:c r="X67" s="1"/>
      <x:c r="Y67" s="1"/>
      <x:c r="Z67" s="1"/>
      <x:c r="AA67" s="1"/>
      <x:c r="AB67" s="9"/>
      <x:c r="AC67" s="9"/>
      <x:c r="AD67" s="10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</x:row>
    <x:row r="68" spans="1:52">
      <x:c r="A68" s="10"/>
      <x:c r="B68" s="1"/>
      <x:c r="C68" s="19"/>
      <x:c r="D68" s="19"/>
      <x:c r="E68" s="19"/>
      <x:c r="F68" s="19"/>
      <x:c r="G68" s="1"/>
      <x:c r="H68" s="31"/>
      <x:c r="I68" s="30"/>
      <x:c r="J68" s="10"/>
      <x:c r="K68" s="1"/>
      <x:c r="L68" s="1"/>
      <x:c r="M68" s="19"/>
      <x:c r="N68" s="19"/>
      <x:c r="O68" s="19"/>
      <x:c r="P68" s="19"/>
      <x:c r="Q68" s="19"/>
      <x:c r="R68" s="19"/>
      <x:c r="S68" s="19"/>
      <x:c r="T68" s="19"/>
      <x:c r="U68" s="1"/>
      <x:c r="V68" s="1"/>
      <x:c r="W68" s="1"/>
      <x:c r="X68" s="1"/>
      <x:c r="Y68" s="1"/>
      <x:c r="Z68" s="1"/>
      <x:c r="AA68" s="1"/>
      <x:c r="AB68" s="9"/>
      <x:c r="AC68" s="9"/>
      <x:c r="AD68" s="10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</x:row>
    <x:row r="69" spans="1:52">
      <x:c r="A69" s="10"/>
      <x:c r="B69" s="1"/>
      <x:c r="C69" s="19"/>
      <x:c r="D69" s="19"/>
      <x:c r="E69" s="19"/>
      <x:c r="F69" s="19"/>
      <x:c r="G69" s="1"/>
      <x:c r="H69" s="31"/>
      <x:c r="I69" s="30"/>
      <x:c r="J69" s="10"/>
      <x:c r="K69" s="1"/>
      <x:c r="L69" s="1"/>
      <x:c r="M69" s="19"/>
      <x:c r="N69" s="19"/>
      <x:c r="O69" s="19"/>
      <x:c r="P69" s="19"/>
      <x:c r="Q69" s="19"/>
      <x:c r="R69" s="19"/>
      <x:c r="S69" s="19"/>
      <x:c r="T69" s="19"/>
      <x:c r="U69" s="1"/>
      <x:c r="V69" s="1"/>
      <x:c r="W69" s="1"/>
      <x:c r="X69" s="1"/>
      <x:c r="Y69" s="1"/>
      <x:c r="Z69" s="1"/>
      <x:c r="AA69" s="1"/>
      <x:c r="AB69" s="9"/>
      <x:c r="AC69" s="9"/>
      <x:c r="AD69" s="10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</x:row>
    <x:row r="70" spans="1:52">
      <x:c r="A70" s="10"/>
      <x:c r="B70" s="1"/>
      <x:c r="C70" s="19"/>
      <x:c r="D70" s="19"/>
      <x:c r="E70" s="19"/>
      <x:c r="F70" s="19"/>
      <x:c r="G70" s="1"/>
      <x:c r="H70" s="31"/>
      <x:c r="I70" s="30"/>
      <x:c r="J70" s="10"/>
      <x:c r="K70" s="1"/>
      <x:c r="L70" s="1"/>
      <x:c r="M70" s="19"/>
      <x:c r="N70" s="19"/>
      <x:c r="O70" s="19"/>
      <x:c r="P70" s="19"/>
      <x:c r="Q70" s="19"/>
      <x:c r="R70" s="19"/>
      <x:c r="S70" s="19"/>
      <x:c r="T70" s="19"/>
      <x:c r="U70" s="1"/>
      <x:c r="V70" s="1"/>
      <x:c r="W70" s="1"/>
      <x:c r="X70" s="1"/>
      <x:c r="Y70" s="1"/>
      <x:c r="Z70" s="1"/>
      <x:c r="AA70" s="1"/>
      <x:c r="AB70" s="9"/>
      <x:c r="AC70" s="9"/>
      <x:c r="AD70" s="10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</x:row>
    <x:row r="71" spans="1:52">
      <x:c r="A71" s="10"/>
      <x:c r="B71" s="1"/>
      <x:c r="C71" s="19"/>
      <x:c r="D71" s="19"/>
      <x:c r="E71" s="19"/>
      <x:c r="F71" s="19"/>
      <x:c r="G71" s="1"/>
      <x:c r="H71" s="31"/>
      <x:c r="I71" s="30"/>
      <x:c r="J71" s="10"/>
      <x:c r="K71" s="1"/>
      <x:c r="L71" s="1"/>
      <x:c r="M71" s="19"/>
      <x:c r="N71" s="19"/>
      <x:c r="O71" s="19"/>
      <x:c r="P71" s="19"/>
      <x:c r="Q71" s="19"/>
      <x:c r="R71" s="19"/>
      <x:c r="S71" s="19"/>
      <x:c r="T71" s="19"/>
      <x:c r="U71" s="1"/>
      <x:c r="V71" s="1"/>
      <x:c r="W71" s="1"/>
      <x:c r="X71" s="1"/>
      <x:c r="Y71" s="1"/>
      <x:c r="Z71" s="1"/>
      <x:c r="AA71" s="1"/>
      <x:c r="AB71" s="9"/>
      <x:c r="AC71" s="9"/>
      <x:c r="AD71" s="10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</x:row>
    <x:row r="72" spans="1:52">
      <x:c r="A72" s="10"/>
      <x:c r="B72" s="1"/>
      <x:c r="C72" s="19"/>
      <x:c r="D72" s="19"/>
      <x:c r="E72" s="19"/>
      <x:c r="F72" s="19"/>
      <x:c r="G72" s="1"/>
      <x:c r="H72" s="31"/>
      <x:c r="I72" s="30"/>
      <x:c r="J72" s="10"/>
      <x:c r="K72" s="1"/>
      <x:c r="L72" s="1"/>
      <x:c r="M72" s="19"/>
      <x:c r="N72" s="19"/>
      <x:c r="O72" s="19"/>
      <x:c r="P72" s="19"/>
      <x:c r="Q72" s="19"/>
      <x:c r="R72" s="19"/>
      <x:c r="S72" s="19"/>
      <x:c r="T72" s="19"/>
      <x:c r="U72" s="1"/>
      <x:c r="V72" s="1"/>
      <x:c r="W72" s="1"/>
      <x:c r="X72" s="1"/>
      <x:c r="Y72" s="1"/>
      <x:c r="Z72" s="1"/>
      <x:c r="AA72" s="1"/>
      <x:c r="AB72" s="9"/>
      <x:c r="AC72" s="9"/>
      <x:c r="AD72" s="10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</x:row>
    <x:row r="73" spans="1:52">
      <x:c r="A73" s="10"/>
      <x:c r="B73" s="1"/>
      <x:c r="C73" s="19"/>
      <x:c r="D73" s="19"/>
      <x:c r="E73" s="19"/>
      <x:c r="F73" s="19"/>
      <x:c r="G73" s="1"/>
      <x:c r="H73" s="31"/>
      <x:c r="I73" s="30"/>
      <x:c r="J73" s="10"/>
      <x:c r="K73" s="1"/>
      <x:c r="L73" s="1"/>
      <x:c r="M73" s="19"/>
      <x:c r="N73" s="19"/>
      <x:c r="O73" s="19"/>
      <x:c r="P73" s="19"/>
      <x:c r="Q73" s="19"/>
      <x:c r="R73" s="19"/>
      <x:c r="S73" s="19"/>
      <x:c r="T73" s="19"/>
      <x:c r="U73" s="1"/>
      <x:c r="V73" s="1"/>
      <x:c r="W73" s="1"/>
      <x:c r="X73" s="1"/>
      <x:c r="Y73" s="1"/>
      <x:c r="Z73" s="1"/>
      <x:c r="AA73" s="1"/>
      <x:c r="AB73" s="9"/>
      <x:c r="AC73" s="9"/>
      <x:c r="AD73" s="10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</x:row>
    <x:row r="74" spans="1:52">
      <x:c r="A74" s="10"/>
      <x:c r="B74" s="1"/>
      <x:c r="C74" s="19"/>
      <x:c r="D74" s="19"/>
      <x:c r="E74" s="19"/>
      <x:c r="F74" s="19"/>
      <x:c r="G74" s="1"/>
      <x:c r="H74" s="31"/>
      <x:c r="I74" s="30"/>
      <x:c r="J74" s="10"/>
      <x:c r="K74" s="1"/>
      <x:c r="L74" s="1"/>
      <x:c r="M74" s="19"/>
      <x:c r="N74" s="19"/>
      <x:c r="O74" s="19"/>
      <x:c r="P74" s="19"/>
      <x:c r="Q74" s="19"/>
      <x:c r="R74" s="19"/>
      <x:c r="S74" s="19"/>
      <x:c r="T74" s="19"/>
      <x:c r="U74" s="1"/>
      <x:c r="V74" s="1"/>
      <x:c r="W74" s="1"/>
      <x:c r="X74" s="1"/>
      <x:c r="Y74" s="1"/>
      <x:c r="Z74" s="1"/>
      <x:c r="AA74" s="1"/>
      <x:c r="AB74" s="9"/>
      <x:c r="AC74" s="9"/>
      <x:c r="AD74" s="10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</x:row>
    <x:row r="75" spans="1:52">
      <x:c r="A75" s="10"/>
      <x:c r="B75" s="1"/>
      <x:c r="C75" s="19"/>
      <x:c r="D75" s="19"/>
      <x:c r="E75" s="19"/>
      <x:c r="F75" s="19"/>
      <x:c r="G75" s="1"/>
      <x:c r="H75" s="31"/>
      <x:c r="I75" s="30"/>
      <x:c r="J75" s="10"/>
      <x:c r="K75" s="1"/>
      <x:c r="L75" s="1"/>
      <x:c r="M75" s="19"/>
      <x:c r="N75" s="19"/>
      <x:c r="O75" s="19"/>
      <x:c r="P75" s="19"/>
      <x:c r="Q75" s="19"/>
      <x:c r="R75" s="19"/>
      <x:c r="S75" s="19"/>
      <x:c r="T75" s="19"/>
      <x:c r="U75" s="1"/>
      <x:c r="V75" s="1"/>
      <x:c r="W75" s="1"/>
      <x:c r="X75" s="1"/>
      <x:c r="Y75" s="1"/>
      <x:c r="Z75" s="1"/>
      <x:c r="AA75" s="1"/>
      <x:c r="AB75" s="9"/>
      <x:c r="AC75" s="9"/>
      <x:c r="AD75" s="10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</x:row>
    <x:row r="76" spans="1:52">
      <x:c r="A76" s="10"/>
      <x:c r="B76" s="1"/>
      <x:c r="C76" s="19"/>
      <x:c r="D76" s="19"/>
      <x:c r="E76" s="19"/>
      <x:c r="F76" s="19"/>
      <x:c r="G76" s="1"/>
      <x:c r="H76" s="31"/>
      <x:c r="I76" s="30"/>
      <x:c r="J76" s="10"/>
      <x:c r="K76" s="1"/>
      <x:c r="L76" s="1"/>
      <x:c r="M76" s="19"/>
      <x:c r="N76" s="19"/>
      <x:c r="O76" s="19"/>
      <x:c r="P76" s="19"/>
      <x:c r="Q76" s="19"/>
      <x:c r="R76" s="19"/>
      <x:c r="S76" s="19"/>
      <x:c r="T76" s="19"/>
      <x:c r="U76" s="1"/>
      <x:c r="V76" s="1"/>
      <x:c r="W76" s="1"/>
      <x:c r="X76" s="1"/>
      <x:c r="Y76" s="1"/>
      <x:c r="Z76" s="1"/>
      <x:c r="AA76" s="1"/>
      <x:c r="AB76" s="9"/>
      <x:c r="AC76" s="9"/>
      <x:c r="AD76" s="10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/>
      <x:c r="AS76" s="5"/>
      <x:c r="AT76" s="5"/>
      <x:c r="AU76" s="5"/>
      <x:c r="AV76" s="5"/>
      <x:c r="AW76" s="5"/>
      <x:c r="AX76" s="5"/>
      <x:c r="AY76" s="5"/>
      <x:c r="AZ76" s="5"/>
    </x:row>
    <x:row r="77" spans="1:52">
      <x:c r="A77" s="10"/>
      <x:c r="B77" s="1"/>
      <x:c r="C77" s="19"/>
      <x:c r="D77" s="19"/>
      <x:c r="E77" s="19"/>
      <x:c r="F77" s="19"/>
      <x:c r="G77" s="1"/>
      <x:c r="H77" s="31"/>
      <x:c r="I77" s="30"/>
      <x:c r="J77" s="10"/>
      <x:c r="K77" s="1"/>
      <x:c r="L77" s="1"/>
      <x:c r="M77" s="19"/>
      <x:c r="N77" s="19"/>
      <x:c r="O77" s="19"/>
      <x:c r="P77" s="19"/>
      <x:c r="Q77" s="19"/>
      <x:c r="R77" s="19"/>
      <x:c r="S77" s="19"/>
      <x:c r="T77" s="19"/>
      <x:c r="U77" s="1"/>
      <x:c r="V77" s="1"/>
      <x:c r="W77" s="1"/>
      <x:c r="X77" s="1"/>
      <x:c r="Y77" s="1"/>
      <x:c r="Z77" s="1"/>
      <x:c r="AA77" s="1"/>
      <x:c r="AB77" s="9"/>
      <x:c r="AC77" s="9"/>
      <x:c r="AD77" s="10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</x:row>
    <x:row r="78" spans="1:52">
      <x:c r="A78" s="10"/>
      <x:c r="B78" s="1"/>
      <x:c r="C78" s="19"/>
      <x:c r="D78" s="19"/>
      <x:c r="E78" s="19"/>
      <x:c r="F78" s="19"/>
      <x:c r="G78" s="1"/>
      <x:c r="H78" s="31"/>
      <x:c r="I78" s="30"/>
      <x:c r="J78" s="10"/>
      <x:c r="K78" s="1"/>
      <x:c r="L78" s="1"/>
      <x:c r="M78" s="19"/>
      <x:c r="N78" s="19"/>
      <x:c r="O78" s="19"/>
      <x:c r="P78" s="19"/>
      <x:c r="Q78" s="19"/>
      <x:c r="R78" s="19"/>
      <x:c r="S78" s="19"/>
      <x:c r="T78" s="19"/>
      <x:c r="U78" s="1"/>
      <x:c r="V78" s="1"/>
      <x:c r="W78" s="1"/>
      <x:c r="X78" s="1"/>
      <x:c r="Y78" s="1"/>
      <x:c r="Z78" s="1"/>
      <x:c r="AA78" s="1"/>
      <x:c r="AB78" s="9"/>
      <x:c r="AC78" s="9"/>
      <x:c r="AD78" s="10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</x:row>
    <x:row r="79" spans="1:52">
      <x:c r="A79" s="10"/>
      <x:c r="B79" s="1"/>
      <x:c r="C79" s="19"/>
      <x:c r="D79" s="19"/>
      <x:c r="E79" s="19"/>
      <x:c r="F79" s="19"/>
      <x:c r="G79" s="1"/>
      <x:c r="H79" s="31"/>
      <x:c r="I79" s="30"/>
      <x:c r="J79" s="10"/>
      <x:c r="K79" s="1"/>
      <x:c r="L79" s="1"/>
      <x:c r="M79" s="19"/>
      <x:c r="N79" s="19"/>
      <x:c r="O79" s="19"/>
      <x:c r="P79" s="19"/>
      <x:c r="Q79" s="19"/>
      <x:c r="R79" s="19"/>
      <x:c r="S79" s="19"/>
      <x:c r="T79" s="19"/>
      <x:c r="U79" s="1"/>
      <x:c r="V79" s="1"/>
      <x:c r="W79" s="1"/>
      <x:c r="X79" s="1"/>
      <x:c r="Y79" s="1"/>
      <x:c r="Z79" s="1"/>
      <x:c r="AA79" s="1"/>
      <x:c r="AB79" s="9"/>
      <x:c r="AC79" s="9"/>
      <x:c r="AD79" s="10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</x:row>
    <x:row r="80" spans="1:52">
      <x:c r="A80" s="10"/>
      <x:c r="B80" s="1"/>
      <x:c r="C80" s="19"/>
      <x:c r="D80" s="19"/>
      <x:c r="E80" s="19"/>
      <x:c r="F80" s="19"/>
      <x:c r="G80" s="1"/>
      <x:c r="H80" s="31"/>
      <x:c r="I80" s="30"/>
      <x:c r="J80" s="10"/>
      <x:c r="K80" s="1"/>
      <x:c r="L80" s="1"/>
      <x:c r="M80" s="19"/>
      <x:c r="N80" s="19"/>
      <x:c r="O80" s="19"/>
      <x:c r="P80" s="19"/>
      <x:c r="Q80" s="19"/>
      <x:c r="R80" s="19"/>
      <x:c r="S80" s="19"/>
      <x:c r="T80" s="19"/>
      <x:c r="U80" s="1"/>
      <x:c r="V80" s="1"/>
      <x:c r="W80" s="1"/>
      <x:c r="X80" s="1"/>
      <x:c r="Y80" s="1"/>
      <x:c r="Z80" s="1"/>
      <x:c r="AA80" s="1"/>
      <x:c r="AB80" s="9"/>
      <x:c r="AC80" s="9"/>
      <x:c r="AD80" s="10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  <x:c r="AQ80" s="5"/>
      <x:c r="AR80" s="5"/>
      <x:c r="AS80" s="5"/>
      <x:c r="AT80" s="5"/>
      <x:c r="AU80" s="5"/>
      <x:c r="AV80" s="5"/>
      <x:c r="AW80" s="5"/>
      <x:c r="AX80" s="5"/>
      <x:c r="AY80" s="5"/>
      <x:c r="AZ80" s="5"/>
    </x:row>
    <x:row r="81" spans="1:52">
      <x:c r="A81" s="10"/>
      <x:c r="B81" s="1"/>
      <x:c r="C81" s="19"/>
      <x:c r="D81" s="19"/>
      <x:c r="E81" s="19"/>
      <x:c r="F81" s="19"/>
      <x:c r="G81" s="1"/>
      <x:c r="H81" s="31"/>
      <x:c r="I81" s="30"/>
      <x:c r="J81" s="10"/>
      <x:c r="K81" s="1"/>
      <x:c r="L81" s="1"/>
      <x:c r="M81" s="19"/>
      <x:c r="N81" s="19"/>
      <x:c r="O81" s="19"/>
      <x:c r="P81" s="19"/>
      <x:c r="Q81" s="19"/>
      <x:c r="R81" s="19"/>
      <x:c r="S81" s="19"/>
      <x:c r="T81" s="19"/>
      <x:c r="U81" s="1"/>
      <x:c r="V81" s="1"/>
      <x:c r="W81" s="1"/>
      <x:c r="X81" s="1"/>
      <x:c r="Y81" s="1"/>
      <x:c r="Z81" s="1"/>
      <x:c r="AA81" s="1"/>
      <x:c r="AB81" s="9"/>
      <x:c r="AC81" s="9"/>
      <x:c r="AD81" s="10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/>
    </x:row>
    <x:row r="82" spans="1:52">
      <x:c r="A82" s="10"/>
      <x:c r="B82" s="1"/>
      <x:c r="C82" s="19"/>
      <x:c r="D82" s="19"/>
      <x:c r="E82" s="19"/>
      <x:c r="F82" s="19"/>
      <x:c r="G82" s="1"/>
      <x:c r="H82" s="31"/>
      <x:c r="I82" s="30"/>
      <x:c r="J82" s="10"/>
      <x:c r="K82" s="1"/>
      <x:c r="L82" s="1"/>
      <x:c r="M82" s="19"/>
      <x:c r="N82" s="19"/>
      <x:c r="O82" s="19"/>
      <x:c r="P82" s="19"/>
      <x:c r="Q82" s="19"/>
      <x:c r="R82" s="19"/>
      <x:c r="S82" s="19"/>
      <x:c r="T82" s="19"/>
      <x:c r="U82" s="1"/>
      <x:c r="V82" s="1"/>
      <x:c r="W82" s="1"/>
      <x:c r="X82" s="1"/>
      <x:c r="Y82" s="1"/>
      <x:c r="Z82" s="1"/>
      <x:c r="AA82" s="1"/>
      <x:c r="AB82" s="9"/>
      <x:c r="AC82" s="9"/>
      <x:c r="AD82" s="10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</x:row>
    <x:row r="83" spans="1:52">
      <x:c r="A83" s="10"/>
      <x:c r="B83" s="1"/>
      <x:c r="C83" s="19"/>
      <x:c r="D83" s="19"/>
      <x:c r="E83" s="19"/>
      <x:c r="F83" s="19"/>
      <x:c r="G83" s="1"/>
      <x:c r="H83" s="31"/>
      <x:c r="I83" s="30"/>
      <x:c r="J83" s="10"/>
      <x:c r="K83" s="1"/>
      <x:c r="L83" s="1"/>
      <x:c r="M83" s="19"/>
      <x:c r="N83" s="19"/>
      <x:c r="O83" s="19"/>
      <x:c r="P83" s="19"/>
      <x:c r="Q83" s="19"/>
      <x:c r="R83" s="19"/>
      <x:c r="S83" s="19"/>
      <x:c r="T83" s="19"/>
      <x:c r="U83" s="1"/>
      <x:c r="V83" s="1"/>
      <x:c r="W83" s="1"/>
      <x:c r="X83" s="1"/>
      <x:c r="Y83" s="1"/>
      <x:c r="Z83" s="1"/>
      <x:c r="AA83" s="1"/>
      <x:c r="AB83" s="9"/>
      <x:c r="AC83" s="9"/>
      <x:c r="AD83" s="10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  <x:c r="AQ83" s="5"/>
      <x:c r="AR83" s="5"/>
      <x:c r="AS83" s="5"/>
      <x:c r="AT83" s="5"/>
      <x:c r="AU83" s="5"/>
      <x:c r="AV83" s="5"/>
      <x:c r="AW83" s="5"/>
      <x:c r="AX83" s="5"/>
      <x:c r="AY83" s="5"/>
      <x:c r="AZ83" s="5"/>
    </x:row>
    <x:row r="84" spans="1:52">
      <x:c r="A84" s="10"/>
      <x:c r="B84" s="1"/>
      <x:c r="C84" s="19"/>
      <x:c r="D84" s="19"/>
      <x:c r="E84" s="19"/>
      <x:c r="F84" s="19"/>
      <x:c r="G84" s="1"/>
      <x:c r="H84" s="31"/>
      <x:c r="I84" s="30"/>
      <x:c r="J84" s="10"/>
      <x:c r="K84" s="1"/>
      <x:c r="L84" s="1"/>
      <x:c r="M84" s="19"/>
      <x:c r="N84" s="19"/>
      <x:c r="O84" s="19"/>
      <x:c r="P84" s="19"/>
      <x:c r="Q84" s="19"/>
      <x:c r="R84" s="19"/>
      <x:c r="S84" s="19"/>
      <x:c r="T84" s="19"/>
      <x:c r="U84" s="1"/>
      <x:c r="V84" s="1"/>
      <x:c r="W84" s="1"/>
      <x:c r="X84" s="1"/>
      <x:c r="Y84" s="1"/>
      <x:c r="Z84" s="1"/>
      <x:c r="AA84" s="1"/>
      <x:c r="AB84" s="9"/>
      <x:c r="AC84" s="9"/>
      <x:c r="AD84" s="10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</x:row>
    <x:row r="85" spans="1:52">
      <x:c r="A85" s="10"/>
      <x:c r="B85" s="1"/>
      <x:c r="C85" s="19"/>
      <x:c r="D85" s="19"/>
      <x:c r="E85" s="19"/>
      <x:c r="F85" s="19"/>
      <x:c r="G85" s="1"/>
      <x:c r="H85" s="31"/>
      <x:c r="I85" s="30"/>
      <x:c r="J85" s="10"/>
      <x:c r="K85" s="1"/>
      <x:c r="L85" s="1"/>
      <x:c r="M85" s="19"/>
      <x:c r="N85" s="19"/>
      <x:c r="O85" s="19"/>
      <x:c r="P85" s="19"/>
      <x:c r="Q85" s="19"/>
      <x:c r="R85" s="19"/>
      <x:c r="S85" s="19"/>
      <x:c r="T85" s="19"/>
      <x:c r="U85" s="1"/>
      <x:c r="V85" s="1"/>
      <x:c r="W85" s="1"/>
      <x:c r="X85" s="1"/>
      <x:c r="Y85" s="1"/>
      <x:c r="Z85" s="1"/>
      <x:c r="AA85" s="1"/>
      <x:c r="AB85" s="9"/>
      <x:c r="AC85" s="9"/>
      <x:c r="AD85" s="10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</x:row>
    <x:row r="86" spans="1:52">
      <x:c r="A86" s="10"/>
      <x:c r="B86" s="1"/>
      <x:c r="C86" s="19"/>
      <x:c r="D86" s="19"/>
      <x:c r="E86" s="19"/>
      <x:c r="F86" s="19"/>
      <x:c r="G86" s="1"/>
      <x:c r="H86" s="31"/>
      <x:c r="I86" s="30"/>
      <x:c r="J86" s="10"/>
      <x:c r="K86" s="1"/>
      <x:c r="L86" s="1"/>
      <x:c r="M86" s="19"/>
      <x:c r="N86" s="19"/>
      <x:c r="O86" s="19"/>
      <x:c r="P86" s="19"/>
      <x:c r="Q86" s="19"/>
      <x:c r="R86" s="19"/>
      <x:c r="S86" s="19"/>
      <x:c r="T86" s="19"/>
      <x:c r="U86" s="1"/>
      <x:c r="V86" s="1"/>
      <x:c r="W86" s="1"/>
      <x:c r="X86" s="1"/>
      <x:c r="Y86" s="1"/>
      <x:c r="Z86" s="1"/>
      <x:c r="AA86" s="1"/>
      <x:c r="AB86" s="9"/>
      <x:c r="AC86" s="9"/>
      <x:c r="AD86" s="10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</x:row>
    <x:row r="87" spans="1:52">
      <x:c r="A87" s="10"/>
      <x:c r="B87" s="1"/>
      <x:c r="C87" s="19"/>
      <x:c r="D87" s="19"/>
      <x:c r="E87" s="19"/>
      <x:c r="F87" s="19"/>
      <x:c r="G87" s="1"/>
      <x:c r="H87" s="31"/>
      <x:c r="I87" s="30"/>
      <x:c r="J87" s="10"/>
      <x:c r="K87" s="1"/>
      <x:c r="L87" s="1"/>
      <x:c r="M87" s="19"/>
      <x:c r="N87" s="19"/>
      <x:c r="O87" s="19"/>
      <x:c r="P87" s="19"/>
      <x:c r="Q87" s="19"/>
      <x:c r="R87" s="19"/>
      <x:c r="S87" s="19"/>
      <x:c r="T87" s="19"/>
      <x:c r="U87" s="1"/>
      <x:c r="V87" s="1"/>
      <x:c r="W87" s="1"/>
      <x:c r="X87" s="1"/>
      <x:c r="Y87" s="1"/>
      <x:c r="Z87" s="1"/>
      <x:c r="AA87" s="1"/>
      <x:c r="AB87" s="9"/>
      <x:c r="AC87" s="9"/>
      <x:c r="AD87" s="10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</x:row>
    <x:row r="88" spans="1:52">
      <x:c r="A88" s="10"/>
      <x:c r="B88" s="1"/>
      <x:c r="C88" s="19"/>
      <x:c r="D88" s="19"/>
      <x:c r="E88" s="19"/>
      <x:c r="F88" s="19"/>
      <x:c r="G88" s="1"/>
      <x:c r="H88" s="31"/>
      <x:c r="I88" s="30"/>
      <x:c r="J88" s="10"/>
      <x:c r="K88" s="1"/>
      <x:c r="L88" s="1"/>
      <x:c r="M88" s="19"/>
      <x:c r="N88" s="19"/>
      <x:c r="O88" s="19"/>
      <x:c r="P88" s="19"/>
      <x:c r="Q88" s="19"/>
      <x:c r="R88" s="19"/>
      <x:c r="S88" s="19"/>
      <x:c r="T88" s="19"/>
      <x:c r="U88" s="1"/>
      <x:c r="V88" s="1"/>
      <x:c r="W88" s="1"/>
      <x:c r="X88" s="1"/>
      <x:c r="Y88" s="1"/>
      <x:c r="Z88" s="1"/>
      <x:c r="AA88" s="1"/>
      <x:c r="AB88" s="9"/>
      <x:c r="AC88" s="9"/>
      <x:c r="AD88" s="10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</x:row>
    <x:row r="89" spans="1:52">
      <x:c r="A89" s="10"/>
      <x:c r="B89" s="1"/>
      <x:c r="C89" s="19"/>
      <x:c r="D89" s="19"/>
      <x:c r="E89" s="19"/>
      <x:c r="F89" s="19"/>
      <x:c r="G89" s="1"/>
      <x:c r="H89" s="31"/>
      <x:c r="I89" s="30"/>
      <x:c r="J89" s="10"/>
      <x:c r="K89" s="1"/>
      <x:c r="L89" s="1"/>
      <x:c r="M89" s="19"/>
      <x:c r="N89" s="19"/>
      <x:c r="O89" s="19"/>
      <x:c r="P89" s="19"/>
      <x:c r="Q89" s="19"/>
      <x:c r="R89" s="19"/>
      <x:c r="S89" s="19"/>
      <x:c r="T89" s="19"/>
      <x:c r="U89" s="1"/>
      <x:c r="V89" s="1"/>
      <x:c r="W89" s="1"/>
      <x:c r="X89" s="1"/>
      <x:c r="Y89" s="1"/>
      <x:c r="Z89" s="1"/>
      <x:c r="AA89" s="1"/>
      <x:c r="AB89" s="9"/>
      <x:c r="AC89" s="9"/>
      <x:c r="AD89" s="10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</x:row>
    <x:row r="90" spans="1:52">
      <x:c r="A90" s="10"/>
      <x:c r="B90" s="1"/>
      <x:c r="C90" s="19"/>
      <x:c r="D90" s="19"/>
      <x:c r="E90" s="19"/>
      <x:c r="F90" s="19"/>
      <x:c r="G90" s="1"/>
      <x:c r="H90" s="31"/>
      <x:c r="I90" s="30"/>
      <x:c r="J90" s="10"/>
      <x:c r="K90" s="1"/>
      <x:c r="L90" s="1"/>
      <x:c r="M90" s="19"/>
      <x:c r="N90" s="19"/>
      <x:c r="O90" s="19"/>
      <x:c r="P90" s="19"/>
      <x:c r="Q90" s="19"/>
      <x:c r="R90" s="19"/>
      <x:c r="S90" s="19"/>
      <x:c r="T90" s="19"/>
      <x:c r="U90" s="1"/>
      <x:c r="V90" s="1"/>
      <x:c r="W90" s="1"/>
      <x:c r="X90" s="1"/>
      <x:c r="Y90" s="1"/>
      <x:c r="Z90" s="1"/>
      <x:c r="AA90" s="1"/>
      <x:c r="AB90" s="9"/>
      <x:c r="AC90" s="9"/>
      <x:c r="AD90" s="10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</x:row>
    <x:row r="91" spans="1:52">
      <x:c r="A91" s="10"/>
      <x:c r="B91" s="1"/>
      <x:c r="C91" s="19"/>
      <x:c r="D91" s="19"/>
      <x:c r="E91" s="19"/>
      <x:c r="F91" s="19"/>
      <x:c r="G91" s="1"/>
      <x:c r="H91" s="31"/>
      <x:c r="I91" s="30"/>
      <x:c r="J91" s="10"/>
      <x:c r="K91" s="1"/>
      <x:c r="L91" s="1"/>
      <x:c r="M91" s="19"/>
      <x:c r="N91" s="19"/>
      <x:c r="O91" s="19"/>
      <x:c r="P91" s="19"/>
      <x:c r="Q91" s="19"/>
      <x:c r="R91" s="19"/>
      <x:c r="S91" s="19"/>
      <x:c r="T91" s="19"/>
      <x:c r="U91" s="1"/>
      <x:c r="V91" s="1"/>
      <x:c r="W91" s="1"/>
      <x:c r="X91" s="1"/>
      <x:c r="Y91" s="1"/>
      <x:c r="Z91" s="1"/>
      <x:c r="AA91" s="1"/>
      <x:c r="AB91" s="9"/>
      <x:c r="AC91" s="9"/>
      <x:c r="AD91" s="10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</x:row>
    <x:row r="92" spans="1:52">
      <x:c r="A92" s="10"/>
      <x:c r="B92" s="1"/>
      <x:c r="C92" s="19"/>
      <x:c r="D92" s="19"/>
      <x:c r="E92" s="19"/>
      <x:c r="F92" s="19"/>
      <x:c r="G92" s="1"/>
      <x:c r="H92" s="31"/>
      <x:c r="I92" s="30"/>
      <x:c r="J92" s="10"/>
      <x:c r="K92" s="1"/>
      <x:c r="L92" s="1"/>
      <x:c r="M92" s="19"/>
      <x:c r="N92" s="19"/>
      <x:c r="O92" s="19"/>
      <x:c r="P92" s="19"/>
      <x:c r="Q92" s="19"/>
      <x:c r="R92" s="19"/>
      <x:c r="S92" s="19"/>
      <x:c r="T92" s="19"/>
      <x:c r="U92" s="1"/>
      <x:c r="V92" s="1"/>
      <x:c r="W92" s="1"/>
      <x:c r="X92" s="1"/>
      <x:c r="Y92" s="1"/>
      <x:c r="Z92" s="1"/>
      <x:c r="AA92" s="1"/>
      <x:c r="AB92" s="9"/>
      <x:c r="AC92" s="9"/>
      <x:c r="AD92" s="10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</x:row>
    <x:row r="93" spans="1:52">
      <x:c r="A93" s="10"/>
      <x:c r="B93" s="1"/>
      <x:c r="C93" s="19"/>
      <x:c r="D93" s="19"/>
      <x:c r="E93" s="19"/>
      <x:c r="F93" s="19"/>
      <x:c r="G93" s="1"/>
      <x:c r="H93" s="31"/>
      <x:c r="I93" s="30"/>
      <x:c r="J93" s="10"/>
      <x:c r="K93" s="1"/>
      <x:c r="L93" s="1"/>
      <x:c r="M93" s="19"/>
      <x:c r="N93" s="19"/>
      <x:c r="O93" s="19"/>
      <x:c r="P93" s="19"/>
      <x:c r="Q93" s="19"/>
      <x:c r="R93" s="19"/>
      <x:c r="S93" s="19"/>
      <x:c r="T93" s="19"/>
      <x:c r="U93" s="1"/>
      <x:c r="V93" s="1"/>
      <x:c r="W93" s="1"/>
      <x:c r="X93" s="1"/>
      <x:c r="Y93" s="1"/>
      <x:c r="Z93" s="1"/>
      <x:c r="AA93" s="1"/>
      <x:c r="AB93" s="9"/>
      <x:c r="AC93" s="9"/>
      <x:c r="AD93" s="10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</x:row>
    <x:row r="94" spans="1:52">
      <x:c r="A94" s="10"/>
      <x:c r="B94" s="1"/>
      <x:c r="C94" s="19"/>
      <x:c r="D94" s="19"/>
      <x:c r="E94" s="19"/>
      <x:c r="F94" s="19"/>
      <x:c r="G94" s="1"/>
      <x:c r="H94" s="31"/>
      <x:c r="I94" s="30"/>
      <x:c r="J94" s="10"/>
      <x:c r="K94" s="1"/>
      <x:c r="L94" s="1"/>
      <x:c r="M94" s="19"/>
      <x:c r="N94" s="19"/>
      <x:c r="O94" s="19"/>
      <x:c r="P94" s="19"/>
      <x:c r="Q94" s="19"/>
      <x:c r="R94" s="19"/>
      <x:c r="S94" s="19"/>
      <x:c r="T94" s="19"/>
      <x:c r="U94" s="1"/>
      <x:c r="V94" s="1"/>
      <x:c r="W94" s="1"/>
      <x:c r="X94" s="1"/>
      <x:c r="Y94" s="1"/>
      <x:c r="Z94" s="1"/>
      <x:c r="AA94" s="1"/>
      <x:c r="AB94" s="9"/>
      <x:c r="AC94" s="9"/>
      <x:c r="AD94" s="10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</x:row>
    <x:row r="95" spans="1:52">
      <x:c r="A95" s="10"/>
      <x:c r="B95" s="1"/>
      <x:c r="C95" s="19"/>
      <x:c r="D95" s="19"/>
      <x:c r="E95" s="19"/>
      <x:c r="F95" s="19"/>
      <x:c r="G95" s="1"/>
      <x:c r="H95" s="31"/>
      <x:c r="I95" s="30"/>
      <x:c r="J95" s="10"/>
      <x:c r="K95" s="1"/>
      <x:c r="L95" s="1"/>
      <x:c r="M95" s="19"/>
      <x:c r="N95" s="19"/>
      <x:c r="O95" s="19"/>
      <x:c r="P95" s="19"/>
      <x:c r="Q95" s="19"/>
      <x:c r="R95" s="19"/>
      <x:c r="S95" s="19"/>
      <x:c r="T95" s="19"/>
      <x:c r="U95" s="1"/>
      <x:c r="V95" s="1"/>
      <x:c r="W95" s="1"/>
      <x:c r="X95" s="1"/>
      <x:c r="Y95" s="1"/>
      <x:c r="Z95" s="1"/>
      <x:c r="AA95" s="1"/>
      <x:c r="AB95" s="9"/>
      <x:c r="AC95" s="9"/>
      <x:c r="AD95" s="10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</x:row>
    <x:row r="96" spans="1:52">
      <x:c r="A96" s="10"/>
      <x:c r="B96" s="1"/>
      <x:c r="C96" s="19"/>
      <x:c r="D96" s="19"/>
      <x:c r="E96" s="19"/>
      <x:c r="F96" s="19"/>
      <x:c r="G96" s="1"/>
      <x:c r="H96" s="31"/>
      <x:c r="I96" s="30"/>
      <x:c r="J96" s="10"/>
      <x:c r="K96" s="1"/>
      <x:c r="L96" s="1"/>
      <x:c r="M96" s="19"/>
      <x:c r="N96" s="19"/>
      <x:c r="O96" s="19"/>
      <x:c r="P96" s="19"/>
      <x:c r="Q96" s="19"/>
      <x:c r="R96" s="19"/>
      <x:c r="S96" s="19"/>
      <x:c r="T96" s="19"/>
      <x:c r="U96" s="1"/>
      <x:c r="V96" s="1"/>
      <x:c r="W96" s="1"/>
      <x:c r="X96" s="1"/>
      <x:c r="Y96" s="1"/>
      <x:c r="Z96" s="1"/>
      <x:c r="AA96" s="1"/>
      <x:c r="AB96" s="9"/>
      <x:c r="AC96" s="9"/>
      <x:c r="AD96" s="10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</x:row>
    <x:row r="97" spans="1:52">
      <x:c r="A97" s="10"/>
      <x:c r="B97" s="1"/>
      <x:c r="C97" s="19"/>
      <x:c r="D97" s="19"/>
      <x:c r="E97" s="19"/>
      <x:c r="F97" s="19"/>
      <x:c r="G97" s="1"/>
      <x:c r="H97" s="31"/>
      <x:c r="I97" s="30"/>
      <x:c r="J97" s="10"/>
      <x:c r="K97" s="1"/>
      <x:c r="L97" s="1"/>
      <x:c r="M97" s="19"/>
      <x:c r="N97" s="19"/>
      <x:c r="O97" s="19"/>
      <x:c r="P97" s="19"/>
      <x:c r="Q97" s="19"/>
      <x:c r="R97" s="19"/>
      <x:c r="S97" s="19"/>
      <x:c r="T97" s="19"/>
      <x:c r="U97" s="1"/>
      <x:c r="V97" s="1"/>
      <x:c r="W97" s="1"/>
      <x:c r="X97" s="1"/>
      <x:c r="Y97" s="1"/>
      <x:c r="Z97" s="1"/>
      <x:c r="AA97" s="1"/>
      <x:c r="AB97" s="9"/>
      <x:c r="AC97" s="9"/>
      <x:c r="AD97" s="10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</x:row>
    <x:row r="98" spans="1:52">
      <x:c r="A98" s="10"/>
      <x:c r="B98" s="1"/>
      <x:c r="C98" s="19"/>
      <x:c r="D98" s="19"/>
      <x:c r="E98" s="19"/>
      <x:c r="F98" s="19"/>
      <x:c r="G98" s="1"/>
      <x:c r="H98" s="31"/>
      <x:c r="I98" s="30"/>
      <x:c r="J98" s="10"/>
      <x:c r="K98" s="1"/>
      <x:c r="L98" s="1"/>
      <x:c r="M98" s="19"/>
      <x:c r="N98" s="19"/>
      <x:c r="O98" s="19"/>
      <x:c r="P98" s="19"/>
      <x:c r="Q98" s="19"/>
      <x:c r="R98" s="19"/>
      <x:c r="S98" s="19"/>
      <x:c r="T98" s="19"/>
      <x:c r="U98" s="1"/>
      <x:c r="V98" s="1"/>
      <x:c r="W98" s="1"/>
      <x:c r="X98" s="1"/>
      <x:c r="Y98" s="1"/>
      <x:c r="Z98" s="1"/>
      <x:c r="AA98" s="1"/>
      <x:c r="AB98" s="9"/>
      <x:c r="AC98" s="9"/>
      <x:c r="AD98" s="10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</x:row>
    <x:row r="99" spans="1:52">
      <x:c r="A99" s="10"/>
      <x:c r="B99" s="1"/>
      <x:c r="C99" s="19"/>
      <x:c r="D99" s="19"/>
      <x:c r="E99" s="19"/>
      <x:c r="F99" s="19"/>
      <x:c r="G99" s="1"/>
      <x:c r="H99" s="31"/>
      <x:c r="I99" s="30"/>
      <x:c r="J99" s="10"/>
      <x:c r="K99" s="1"/>
      <x:c r="L99" s="1"/>
      <x:c r="M99" s="19"/>
      <x:c r="N99" s="19"/>
      <x:c r="O99" s="19"/>
      <x:c r="P99" s="19"/>
      <x:c r="Q99" s="19"/>
      <x:c r="R99" s="19"/>
      <x:c r="S99" s="19"/>
      <x:c r="T99" s="19"/>
      <x:c r="U99" s="1"/>
      <x:c r="V99" s="1"/>
      <x:c r="W99" s="1"/>
      <x:c r="X99" s="1"/>
      <x:c r="Y99" s="1"/>
      <x:c r="Z99" s="1"/>
      <x:c r="AA99" s="1"/>
      <x:c r="AB99" s="9"/>
      <x:c r="AC99" s="9"/>
      <x:c r="AD99" s="10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</x:row>
    <x:row r="100" spans="1:52">
      <x:c r="A100" s="10"/>
      <x:c r="B100" s="1"/>
      <x:c r="C100" s="19"/>
      <x:c r="D100" s="19"/>
      <x:c r="E100" s="19"/>
      <x:c r="F100" s="19"/>
      <x:c r="G100" s="1"/>
      <x:c r="H100" s="31"/>
      <x:c r="I100" s="30"/>
      <x:c r="J100" s="10"/>
      <x:c r="K100" s="1"/>
      <x:c r="L100" s="1"/>
      <x:c r="M100" s="19"/>
      <x:c r="N100" s="19"/>
      <x:c r="O100" s="19"/>
      <x:c r="P100" s="19"/>
      <x:c r="Q100" s="19"/>
      <x:c r="R100" s="19"/>
      <x:c r="S100" s="19"/>
      <x:c r="T100" s="19"/>
      <x:c r="U100" s="1"/>
      <x:c r="V100" s="1"/>
      <x:c r="W100" s="1"/>
      <x:c r="X100" s="1"/>
      <x:c r="Y100" s="1"/>
      <x:c r="Z100" s="1"/>
      <x:c r="AA100" s="1"/>
      <x:c r="AB100" s="9"/>
      <x:c r="AC100" s="9"/>
      <x:c r="AD100" s="10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</x:row>
    <x:row r="101" spans="1:52">
      <x:c r="A101" s="10"/>
      <x:c r="B101" s="1"/>
      <x:c r="C101" s="19"/>
      <x:c r="D101" s="19"/>
      <x:c r="E101" s="19"/>
      <x:c r="F101" s="19"/>
      <x:c r="G101" s="1"/>
      <x:c r="H101" s="31"/>
      <x:c r="I101" s="30"/>
      <x:c r="J101" s="10"/>
      <x:c r="K101" s="1"/>
      <x:c r="L101" s="1"/>
      <x:c r="M101" s="19"/>
      <x:c r="N101" s="19"/>
      <x:c r="O101" s="19"/>
      <x:c r="P101" s="19"/>
      <x:c r="Q101" s="19"/>
      <x:c r="R101" s="19"/>
      <x:c r="S101" s="19"/>
      <x:c r="T101" s="19"/>
      <x:c r="U101" s="1"/>
      <x:c r="V101" s="1"/>
      <x:c r="W101" s="1"/>
      <x:c r="X101" s="1"/>
      <x:c r="Y101" s="1"/>
      <x:c r="Z101" s="1"/>
      <x:c r="AA101" s="1"/>
      <x:c r="AB101" s="9"/>
      <x:c r="AC101" s="9"/>
      <x:c r="AD101" s="10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</x:row>
    <x:row r="102" spans="1:52">
      <x:c r="A102" s="10"/>
      <x:c r="B102" s="1"/>
      <x:c r="C102" s="19"/>
      <x:c r="D102" s="19"/>
      <x:c r="E102" s="19"/>
      <x:c r="F102" s="19"/>
      <x:c r="G102" s="1"/>
      <x:c r="H102" s="31"/>
      <x:c r="I102" s="30"/>
      <x:c r="J102" s="10"/>
      <x:c r="K102" s="1"/>
      <x:c r="L102" s="1"/>
      <x:c r="M102" s="19"/>
      <x:c r="N102" s="19"/>
      <x:c r="O102" s="19"/>
      <x:c r="P102" s="19"/>
      <x:c r="Q102" s="19"/>
      <x:c r="R102" s="19"/>
      <x:c r="S102" s="19"/>
      <x:c r="T102" s="19"/>
      <x:c r="U102" s="1"/>
      <x:c r="V102" s="1"/>
      <x:c r="W102" s="1"/>
      <x:c r="X102" s="1"/>
      <x:c r="Y102" s="1"/>
      <x:c r="Z102" s="1"/>
      <x:c r="AA102" s="1"/>
      <x:c r="AB102" s="9"/>
      <x:c r="AC102" s="9"/>
      <x:c r="AD102" s="10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</x:row>
    <x:row r="103" spans="1:52">
      <x:c r="A103" s="10"/>
      <x:c r="B103" s="1"/>
      <x:c r="C103" s="19"/>
      <x:c r="D103" s="19"/>
      <x:c r="E103" s="19"/>
      <x:c r="F103" s="19"/>
      <x:c r="G103" s="1"/>
      <x:c r="H103" s="31"/>
      <x:c r="I103" s="30"/>
      <x:c r="J103" s="10"/>
      <x:c r="K103" s="1"/>
      <x:c r="L103" s="1"/>
      <x:c r="M103" s="19"/>
      <x:c r="N103" s="19"/>
      <x:c r="O103" s="19"/>
      <x:c r="P103" s="19"/>
      <x:c r="Q103" s="19"/>
      <x:c r="R103" s="19"/>
      <x:c r="S103" s="19"/>
      <x:c r="T103" s="19"/>
      <x:c r="U103" s="1"/>
      <x:c r="V103" s="1"/>
      <x:c r="W103" s="1"/>
      <x:c r="X103" s="1"/>
      <x:c r="Y103" s="1"/>
      <x:c r="Z103" s="1"/>
      <x:c r="AA103" s="1"/>
      <x:c r="AB103" s="9"/>
      <x:c r="AC103" s="9"/>
      <x:c r="AD103" s="10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</x:row>
    <x:row r="104" spans="1:52">
      <x:c r="A104" s="10"/>
      <x:c r="B104" s="1"/>
      <x:c r="C104" s="19"/>
      <x:c r="D104" s="19"/>
      <x:c r="E104" s="19"/>
      <x:c r="F104" s="19"/>
      <x:c r="G104" s="1"/>
      <x:c r="H104" s="31"/>
      <x:c r="I104" s="30"/>
      <x:c r="J104" s="10"/>
      <x:c r="K104" s="1"/>
      <x:c r="L104" s="1"/>
      <x:c r="M104" s="19"/>
      <x:c r="N104" s="19"/>
      <x:c r="O104" s="19"/>
      <x:c r="P104" s="19"/>
      <x:c r="Q104" s="19"/>
      <x:c r="R104" s="19"/>
      <x:c r="S104" s="19"/>
      <x:c r="T104" s="19"/>
      <x:c r="U104" s="1"/>
      <x:c r="V104" s="1"/>
      <x:c r="W104" s="1"/>
      <x:c r="X104" s="1"/>
      <x:c r="Y104" s="1"/>
      <x:c r="Z104" s="1"/>
      <x:c r="AA104" s="1"/>
      <x:c r="AB104" s="9"/>
      <x:c r="AC104" s="9"/>
      <x:c r="AD104" s="10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</x:row>
    <x:row r="105" spans="1:52">
      <x:c r="A105" s="10"/>
      <x:c r="B105" s="1"/>
      <x:c r="C105" s="19"/>
      <x:c r="D105" s="19"/>
      <x:c r="E105" s="19"/>
      <x:c r="F105" s="19"/>
      <x:c r="G105" s="1"/>
      <x:c r="H105" s="31"/>
      <x:c r="I105" s="30"/>
      <x:c r="J105" s="10"/>
      <x:c r="K105" s="1"/>
      <x:c r="L105" s="1"/>
      <x:c r="M105" s="19"/>
      <x:c r="N105" s="19"/>
      <x:c r="O105" s="19"/>
      <x:c r="P105" s="19"/>
      <x:c r="Q105" s="19"/>
      <x:c r="R105" s="19"/>
      <x:c r="S105" s="19"/>
      <x:c r="T105" s="19"/>
      <x:c r="U105" s="1"/>
      <x:c r="V105" s="1"/>
      <x:c r="W105" s="1"/>
      <x:c r="X105" s="1"/>
      <x:c r="Y105" s="1"/>
      <x:c r="Z105" s="1"/>
      <x:c r="AA105" s="1"/>
      <x:c r="AB105" s="9"/>
      <x:c r="AC105" s="9"/>
      <x:c r="AD105" s="10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</x:row>
    <x:row r="106" spans="1:52">
      <x:c r="A106" s="10"/>
      <x:c r="B106" s="1"/>
      <x:c r="C106" s="19"/>
      <x:c r="D106" s="19"/>
      <x:c r="E106" s="19"/>
      <x:c r="F106" s="19"/>
      <x:c r="G106" s="1"/>
      <x:c r="H106" s="31"/>
      <x:c r="I106" s="30"/>
      <x:c r="J106" s="10"/>
      <x:c r="K106" s="1"/>
      <x:c r="L106" s="1"/>
      <x:c r="M106" s="19"/>
      <x:c r="N106" s="19"/>
      <x:c r="O106" s="19"/>
      <x:c r="P106" s="19"/>
      <x:c r="Q106" s="19"/>
      <x:c r="R106" s="19"/>
      <x:c r="S106" s="19"/>
      <x:c r="T106" s="19"/>
      <x:c r="U106" s="1"/>
      <x:c r="V106" s="1"/>
      <x:c r="W106" s="1"/>
      <x:c r="X106" s="1"/>
      <x:c r="Y106" s="1"/>
      <x:c r="Z106" s="1"/>
      <x:c r="AA106" s="1"/>
      <x:c r="AB106" s="9"/>
      <x:c r="AC106" s="9"/>
      <x:c r="AD106" s="10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</x:row>
    <x:row r="107" spans="1:52">
      <x:c r="A107" s="10"/>
      <x:c r="B107" s="1"/>
      <x:c r="C107" s="19"/>
      <x:c r="D107" s="19"/>
      <x:c r="E107" s="19"/>
      <x:c r="F107" s="19"/>
      <x:c r="G107" s="1"/>
      <x:c r="H107" s="31"/>
      <x:c r="I107" s="30"/>
      <x:c r="J107" s="10"/>
      <x:c r="K107" s="1"/>
      <x:c r="L107" s="1"/>
      <x:c r="M107" s="19"/>
      <x:c r="N107" s="19"/>
      <x:c r="O107" s="19"/>
      <x:c r="P107" s="19"/>
      <x:c r="Q107" s="19"/>
      <x:c r="R107" s="19"/>
      <x:c r="S107" s="19"/>
      <x:c r="T107" s="19"/>
      <x:c r="U107" s="1"/>
      <x:c r="V107" s="1"/>
      <x:c r="W107" s="1"/>
      <x:c r="X107" s="1"/>
      <x:c r="Y107" s="1"/>
      <x:c r="Z107" s="1"/>
      <x:c r="AA107" s="1"/>
      <x:c r="AB107" s="9"/>
      <x:c r="AC107" s="9"/>
      <x:c r="AD107" s="10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</x:row>
    <x:row r="108" spans="1:52">
      <x:c r="A108" s="10"/>
      <x:c r="B108" s="1"/>
      <x:c r="C108" s="19"/>
      <x:c r="D108" s="19"/>
      <x:c r="E108" s="19"/>
      <x:c r="F108" s="19"/>
      <x:c r="G108" s="1"/>
      <x:c r="H108" s="31"/>
      <x:c r="I108" s="30"/>
      <x:c r="J108" s="10"/>
      <x:c r="K108" s="1"/>
      <x:c r="L108" s="1"/>
      <x:c r="M108" s="19"/>
      <x:c r="N108" s="19"/>
      <x:c r="O108" s="19"/>
      <x:c r="P108" s="19"/>
      <x:c r="Q108" s="19"/>
      <x:c r="R108" s="19"/>
      <x:c r="S108" s="19"/>
      <x:c r="T108" s="19"/>
      <x:c r="U108" s="1"/>
      <x:c r="V108" s="1"/>
      <x:c r="W108" s="1"/>
      <x:c r="X108" s="1"/>
      <x:c r="Y108" s="1"/>
      <x:c r="Z108" s="1"/>
      <x:c r="AA108" s="1"/>
      <x:c r="AB108" s="9"/>
      <x:c r="AC108" s="9"/>
      <x:c r="AD108" s="10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</x:row>
    <x:row r="109" spans="1:52">
      <x:c r="A109" s="10"/>
      <x:c r="B109" s="1"/>
      <x:c r="C109" s="19"/>
      <x:c r="D109" s="19"/>
      <x:c r="E109" s="19"/>
      <x:c r="F109" s="19"/>
      <x:c r="G109" s="1"/>
      <x:c r="H109" s="31"/>
      <x:c r="I109" s="30"/>
      <x:c r="J109" s="10"/>
      <x:c r="K109" s="1"/>
      <x:c r="L109" s="1"/>
      <x:c r="M109" s="19"/>
      <x:c r="N109" s="19"/>
      <x:c r="O109" s="19"/>
      <x:c r="P109" s="19"/>
      <x:c r="Q109" s="19"/>
      <x:c r="R109" s="19"/>
      <x:c r="S109" s="19"/>
      <x:c r="T109" s="19"/>
      <x:c r="U109" s="1"/>
      <x:c r="V109" s="1"/>
      <x:c r="W109" s="1"/>
      <x:c r="X109" s="1"/>
      <x:c r="Y109" s="1"/>
      <x:c r="Z109" s="1"/>
      <x:c r="AA109" s="1"/>
      <x:c r="AB109" s="9"/>
      <x:c r="AC109" s="9"/>
      <x:c r="AD109" s="10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</x:row>
    <x:row r="110" spans="1:52">
      <x:c r="A110" s="10"/>
      <x:c r="B110" s="1"/>
      <x:c r="C110" s="19"/>
      <x:c r="D110" s="19"/>
      <x:c r="E110" s="19"/>
      <x:c r="F110" s="19"/>
      <x:c r="G110" s="1"/>
      <x:c r="H110" s="31"/>
      <x:c r="I110" s="30"/>
      <x:c r="J110" s="10"/>
      <x:c r="K110" s="1"/>
      <x:c r="L110" s="1"/>
      <x:c r="M110" s="19"/>
      <x:c r="N110" s="19"/>
      <x:c r="O110" s="19"/>
      <x:c r="P110" s="19"/>
      <x:c r="Q110" s="19"/>
      <x:c r="R110" s="19"/>
      <x:c r="S110" s="19"/>
      <x:c r="T110" s="19"/>
      <x:c r="U110" s="1"/>
      <x:c r="V110" s="1"/>
      <x:c r="W110" s="1"/>
      <x:c r="X110" s="1"/>
      <x:c r="Y110" s="1"/>
      <x:c r="Z110" s="1"/>
      <x:c r="AA110" s="1"/>
      <x:c r="AB110" s="9"/>
      <x:c r="AC110" s="9"/>
      <x:c r="AD110" s="10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</x:row>
    <x:row r="111" spans="1:52">
      <x:c r="A111" s="10"/>
      <x:c r="B111" s="1"/>
      <x:c r="C111" s="19"/>
      <x:c r="D111" s="19"/>
      <x:c r="E111" s="19"/>
      <x:c r="F111" s="19"/>
      <x:c r="G111" s="1"/>
      <x:c r="H111" s="31"/>
      <x:c r="I111" s="30"/>
      <x:c r="J111" s="10"/>
      <x:c r="K111" s="1"/>
      <x:c r="L111" s="1"/>
      <x:c r="M111" s="19"/>
      <x:c r="N111" s="19"/>
      <x:c r="O111" s="19"/>
      <x:c r="P111" s="19"/>
      <x:c r="Q111" s="19"/>
      <x:c r="R111" s="19"/>
      <x:c r="S111" s="19"/>
      <x:c r="T111" s="19"/>
      <x:c r="U111" s="1"/>
      <x:c r="V111" s="1"/>
      <x:c r="W111" s="1"/>
      <x:c r="X111" s="1"/>
      <x:c r="Y111" s="1"/>
      <x:c r="Z111" s="1"/>
      <x:c r="AA111" s="1"/>
      <x:c r="AB111" s="9"/>
      <x:c r="AC111" s="9"/>
      <x:c r="AD111" s="10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</x:row>
    <x:row r="112" spans="1:52">
      <x:c r="A112" s="10"/>
      <x:c r="B112" s="1"/>
      <x:c r="C112" s="19"/>
      <x:c r="D112" s="19"/>
      <x:c r="E112" s="19"/>
      <x:c r="F112" s="19"/>
      <x:c r="G112" s="1"/>
      <x:c r="H112" s="31"/>
      <x:c r="I112" s="30"/>
      <x:c r="J112" s="10"/>
      <x:c r="K112" s="1"/>
      <x:c r="L112" s="1"/>
      <x:c r="M112" s="19"/>
      <x:c r="N112" s="19"/>
      <x:c r="O112" s="19"/>
      <x:c r="P112" s="19"/>
      <x:c r="Q112" s="19"/>
      <x:c r="R112" s="19"/>
      <x:c r="S112" s="19"/>
      <x:c r="T112" s="19"/>
      <x:c r="U112" s="1"/>
      <x:c r="V112" s="1"/>
      <x:c r="W112" s="1"/>
      <x:c r="X112" s="1"/>
      <x:c r="Y112" s="1"/>
      <x:c r="Z112" s="1"/>
      <x:c r="AA112" s="1"/>
      <x:c r="AB112" s="9"/>
      <x:c r="AC112" s="9"/>
      <x:c r="AD112" s="10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</x:row>
    <x:row r="113" spans="1:52">
      <x:c r="A113" s="10"/>
      <x:c r="B113" s="1"/>
      <x:c r="C113" s="19"/>
      <x:c r="D113" s="19"/>
      <x:c r="E113" s="19"/>
      <x:c r="F113" s="19"/>
      <x:c r="G113" s="1"/>
      <x:c r="H113" s="31"/>
      <x:c r="I113" s="30"/>
      <x:c r="J113" s="10"/>
      <x:c r="K113" s="1"/>
      <x:c r="L113" s="1"/>
      <x:c r="M113" s="19"/>
      <x:c r="N113" s="19"/>
      <x:c r="O113" s="19"/>
      <x:c r="P113" s="19"/>
      <x:c r="Q113" s="19"/>
      <x:c r="R113" s="19"/>
      <x:c r="S113" s="19"/>
      <x:c r="T113" s="19"/>
      <x:c r="U113" s="1"/>
      <x:c r="V113" s="1"/>
      <x:c r="W113" s="1"/>
      <x:c r="X113" s="1"/>
      <x:c r="Y113" s="1"/>
      <x:c r="Z113" s="1"/>
      <x:c r="AA113" s="1"/>
      <x:c r="AB113" s="9"/>
      <x:c r="AC113" s="9"/>
      <x:c r="AD113" s="10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</x:row>
    <x:row r="114" spans="1:52">
      <x:c r="A114" s="10"/>
      <x:c r="B114" s="1"/>
      <x:c r="C114" s="19"/>
      <x:c r="D114" s="19"/>
      <x:c r="E114" s="19"/>
      <x:c r="F114" s="19"/>
      <x:c r="G114" s="1"/>
      <x:c r="H114" s="31"/>
      <x:c r="I114" s="30"/>
      <x:c r="J114" s="10"/>
      <x:c r="K114" s="1"/>
      <x:c r="L114" s="1"/>
      <x:c r="M114" s="19"/>
      <x:c r="N114" s="19"/>
      <x:c r="O114" s="19"/>
      <x:c r="P114" s="19"/>
      <x:c r="Q114" s="19"/>
      <x:c r="R114" s="19"/>
      <x:c r="S114" s="19"/>
      <x:c r="T114" s="19"/>
      <x:c r="U114" s="1"/>
      <x:c r="V114" s="1"/>
      <x:c r="W114" s="1"/>
      <x:c r="X114" s="1"/>
      <x:c r="Y114" s="1"/>
      <x:c r="Z114" s="1"/>
      <x:c r="AA114" s="1"/>
      <x:c r="AB114" s="9"/>
      <x:c r="AC114" s="9"/>
      <x:c r="AD114" s="10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</x:row>
    <x:row r="115" spans="1:52">
      <x:c r="A115" s="10"/>
      <x:c r="B115" s="1"/>
      <x:c r="C115" s="19"/>
      <x:c r="D115" s="19"/>
      <x:c r="E115" s="19"/>
      <x:c r="F115" s="19"/>
      <x:c r="G115" s="1"/>
      <x:c r="H115" s="31"/>
      <x:c r="I115" s="30"/>
      <x:c r="J115" s="10"/>
      <x:c r="K115" s="1"/>
      <x:c r="L115" s="1"/>
      <x:c r="M115" s="19"/>
      <x:c r="N115" s="19"/>
      <x:c r="O115" s="19"/>
      <x:c r="P115" s="19"/>
      <x:c r="Q115" s="19"/>
      <x:c r="R115" s="19"/>
      <x:c r="S115" s="19"/>
      <x:c r="T115" s="19"/>
      <x:c r="U115" s="1"/>
      <x:c r="V115" s="1"/>
      <x:c r="W115" s="1"/>
      <x:c r="X115" s="1"/>
      <x:c r="Y115" s="1"/>
      <x:c r="Z115" s="1"/>
      <x:c r="AA115" s="1"/>
      <x:c r="AB115" s="9"/>
      <x:c r="AC115" s="9"/>
      <x:c r="AD115" s="10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</x:row>
    <x:row r="116" spans="1:52">
      <x:c r="A116" s="10"/>
      <x:c r="B116" s="1"/>
      <x:c r="C116" s="19"/>
      <x:c r="D116" s="19"/>
      <x:c r="E116" s="19"/>
      <x:c r="F116" s="19"/>
      <x:c r="G116" s="1"/>
      <x:c r="H116" s="31"/>
      <x:c r="I116" s="30"/>
      <x:c r="J116" s="10"/>
      <x:c r="K116" s="1"/>
      <x:c r="L116" s="1"/>
      <x:c r="M116" s="19"/>
      <x:c r="N116" s="19"/>
      <x:c r="O116" s="19"/>
      <x:c r="P116" s="19"/>
      <x:c r="Q116" s="19"/>
      <x:c r="R116" s="19"/>
      <x:c r="S116" s="19"/>
      <x:c r="T116" s="19"/>
      <x:c r="U116" s="1"/>
      <x:c r="V116" s="1"/>
      <x:c r="W116" s="1"/>
      <x:c r="X116" s="1"/>
      <x:c r="Y116" s="1"/>
      <x:c r="Z116" s="1"/>
      <x:c r="AA116" s="1"/>
      <x:c r="AB116" s="9"/>
      <x:c r="AC116" s="9"/>
      <x:c r="AD116" s="10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</x:row>
    <x:row r="117" spans="1:52">
      <x:c r="A117" s="10"/>
      <x:c r="B117" s="1"/>
      <x:c r="C117" s="19"/>
      <x:c r="D117" s="19"/>
      <x:c r="E117" s="19"/>
      <x:c r="F117" s="19"/>
      <x:c r="G117" s="1"/>
      <x:c r="H117" s="31"/>
      <x:c r="I117" s="30"/>
      <x:c r="J117" s="10"/>
      <x:c r="K117" s="1"/>
      <x:c r="L117" s="1"/>
      <x:c r="M117" s="19"/>
      <x:c r="N117" s="19"/>
      <x:c r="O117" s="19"/>
      <x:c r="P117" s="19"/>
      <x:c r="Q117" s="19"/>
      <x:c r="R117" s="19"/>
      <x:c r="S117" s="19"/>
      <x:c r="T117" s="19"/>
      <x:c r="U117" s="1"/>
      <x:c r="V117" s="1"/>
      <x:c r="W117" s="1"/>
      <x:c r="X117" s="1"/>
      <x:c r="Y117" s="1"/>
      <x:c r="Z117" s="1"/>
      <x:c r="AA117" s="1"/>
      <x:c r="AB117" s="9"/>
      <x:c r="AC117" s="9"/>
      <x:c r="AD117" s="10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</x:row>
    <x:row r="118" spans="1:52">
      <x:c r="A118" s="10"/>
      <x:c r="B118" s="1"/>
      <x:c r="C118" s="19"/>
      <x:c r="D118" s="19"/>
      <x:c r="E118" s="19"/>
      <x:c r="F118" s="19"/>
      <x:c r="G118" s="1"/>
      <x:c r="H118" s="31"/>
      <x:c r="I118" s="30"/>
      <x:c r="J118" s="10"/>
      <x:c r="K118" s="1"/>
      <x:c r="L118" s="1"/>
      <x:c r="M118" s="19"/>
      <x:c r="N118" s="19"/>
      <x:c r="O118" s="19"/>
      <x:c r="P118" s="19"/>
      <x:c r="Q118" s="19"/>
      <x:c r="R118" s="19"/>
      <x:c r="S118" s="19"/>
      <x:c r="T118" s="19"/>
      <x:c r="U118" s="1"/>
      <x:c r="V118" s="1"/>
      <x:c r="W118" s="1"/>
      <x:c r="X118" s="1"/>
      <x:c r="Y118" s="1"/>
      <x:c r="Z118" s="1"/>
      <x:c r="AA118" s="1"/>
      <x:c r="AB118" s="9"/>
      <x:c r="AC118" s="9"/>
      <x:c r="AD118" s="10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</x:row>
    <x:row r="119" spans="1:52">
      <x:c r="A119" s="10"/>
      <x:c r="B119" s="1"/>
      <x:c r="C119" s="19"/>
      <x:c r="D119" s="19"/>
      <x:c r="E119" s="19"/>
      <x:c r="F119" s="19"/>
      <x:c r="G119" s="1"/>
      <x:c r="H119" s="31"/>
      <x:c r="I119" s="30"/>
      <x:c r="J119" s="10"/>
      <x:c r="K119" s="1"/>
      <x:c r="L119" s="1"/>
      <x:c r="M119" s="19"/>
      <x:c r="N119" s="19"/>
      <x:c r="O119" s="19"/>
      <x:c r="P119" s="19"/>
      <x:c r="Q119" s="19"/>
      <x:c r="R119" s="19"/>
      <x:c r="S119" s="19"/>
      <x:c r="T119" s="19"/>
      <x:c r="U119" s="1"/>
      <x:c r="V119" s="1"/>
      <x:c r="W119" s="1"/>
      <x:c r="X119" s="1"/>
      <x:c r="Y119" s="1"/>
      <x:c r="Z119" s="1"/>
      <x:c r="AA119" s="1"/>
      <x:c r="AB119" s="9"/>
      <x:c r="AC119" s="9"/>
      <x:c r="AD119" s="10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</x:row>
    <x:row r="120" spans="1:52">
      <x:c r="A120" s="10"/>
      <x:c r="B120" s="1"/>
      <x:c r="C120" s="19"/>
      <x:c r="D120" s="19"/>
      <x:c r="E120" s="19"/>
      <x:c r="F120" s="19"/>
      <x:c r="G120" s="1"/>
      <x:c r="H120" s="31"/>
      <x:c r="I120" s="30"/>
      <x:c r="J120" s="10"/>
      <x:c r="K120" s="1"/>
      <x:c r="L120" s="1"/>
      <x:c r="M120" s="19"/>
      <x:c r="N120" s="19"/>
      <x:c r="O120" s="19"/>
      <x:c r="P120" s="19"/>
      <x:c r="Q120" s="19"/>
      <x:c r="R120" s="19"/>
      <x:c r="S120" s="19"/>
      <x:c r="T120" s="19"/>
      <x:c r="U120" s="1"/>
      <x:c r="V120" s="1"/>
      <x:c r="W120" s="1"/>
      <x:c r="X120" s="1"/>
      <x:c r="Y120" s="1"/>
      <x:c r="Z120" s="1"/>
      <x:c r="AA120" s="1"/>
      <x:c r="AB120" s="9"/>
      <x:c r="AC120" s="9"/>
      <x:c r="AD120" s="10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</x:row>
    <x:row r="121" spans="1:52">
      <x:c r="A121" s="10"/>
      <x:c r="B121" s="1"/>
      <x:c r="C121" s="19"/>
      <x:c r="D121" s="19"/>
      <x:c r="E121" s="19"/>
      <x:c r="F121" s="19"/>
      <x:c r="G121" s="1"/>
      <x:c r="H121" s="31"/>
      <x:c r="I121" s="30"/>
      <x:c r="J121" s="10"/>
      <x:c r="K121" s="1"/>
      <x:c r="L121" s="1"/>
      <x:c r="M121" s="19"/>
      <x:c r="N121" s="19"/>
      <x:c r="O121" s="19"/>
      <x:c r="P121" s="19"/>
      <x:c r="Q121" s="19"/>
      <x:c r="R121" s="19"/>
      <x:c r="S121" s="19"/>
      <x:c r="T121" s="19"/>
      <x:c r="U121" s="1"/>
      <x:c r="V121" s="1"/>
      <x:c r="W121" s="1"/>
      <x:c r="X121" s="1"/>
      <x:c r="Y121" s="1"/>
      <x:c r="Z121" s="1"/>
      <x:c r="AA121" s="1"/>
      <x:c r="AB121" s="9"/>
      <x:c r="AC121" s="9"/>
      <x:c r="AD121" s="10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</x:row>
    <x:row r="122" spans="1:52">
      <x:c r="A122" s="10"/>
      <x:c r="B122" s="1"/>
      <x:c r="C122" s="19"/>
      <x:c r="D122" s="19"/>
      <x:c r="E122" s="19"/>
      <x:c r="F122" s="19"/>
      <x:c r="G122" s="1"/>
      <x:c r="H122" s="31"/>
      <x:c r="I122" s="30"/>
      <x:c r="J122" s="10"/>
      <x:c r="K122" s="1"/>
      <x:c r="L122" s="1"/>
      <x:c r="M122" s="19"/>
      <x:c r="N122" s="19"/>
      <x:c r="O122" s="19"/>
      <x:c r="P122" s="19"/>
      <x:c r="Q122" s="19"/>
      <x:c r="R122" s="19"/>
      <x:c r="S122" s="19"/>
      <x:c r="T122" s="19"/>
      <x:c r="U122" s="1"/>
      <x:c r="V122" s="1"/>
      <x:c r="W122" s="1"/>
      <x:c r="X122" s="1"/>
      <x:c r="Y122" s="1"/>
      <x:c r="Z122" s="1"/>
      <x:c r="AA122" s="1"/>
      <x:c r="AB122" s="9"/>
      <x:c r="AC122" s="9"/>
      <x:c r="AD122" s="10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</x:row>
    <x:row r="123" spans="1:52">
      <x:c r="A123" s="10"/>
      <x:c r="B123" s="1"/>
      <x:c r="C123" s="19"/>
      <x:c r="D123" s="19"/>
      <x:c r="E123" s="19"/>
      <x:c r="F123" s="19"/>
      <x:c r="G123" s="1"/>
      <x:c r="H123" s="31"/>
      <x:c r="I123" s="30"/>
      <x:c r="J123" s="10"/>
      <x:c r="K123" s="1"/>
      <x:c r="L123" s="1"/>
      <x:c r="M123" s="19"/>
      <x:c r="N123" s="19"/>
      <x:c r="O123" s="19"/>
      <x:c r="P123" s="19"/>
      <x:c r="Q123" s="19"/>
      <x:c r="R123" s="19"/>
      <x:c r="S123" s="19"/>
      <x:c r="T123" s="19"/>
      <x:c r="U123" s="1"/>
      <x:c r="V123" s="1"/>
      <x:c r="W123" s="1"/>
      <x:c r="X123" s="1"/>
      <x:c r="Y123" s="1"/>
      <x:c r="Z123" s="1"/>
      <x:c r="AA123" s="1"/>
      <x:c r="AB123" s="9"/>
      <x:c r="AC123" s="9"/>
      <x:c r="AD123" s="10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</x:row>
    <x:row r="124" spans="1:52">
      <x:c r="A124" s="10"/>
      <x:c r="B124" s="1"/>
      <x:c r="C124" s="19"/>
      <x:c r="D124" s="19"/>
      <x:c r="E124" s="19"/>
      <x:c r="F124" s="19"/>
      <x:c r="G124" s="1"/>
      <x:c r="H124" s="31"/>
      <x:c r="I124" s="30"/>
      <x:c r="J124" s="10"/>
      <x:c r="K124" s="1"/>
      <x:c r="L124" s="1"/>
      <x:c r="M124" s="19"/>
      <x:c r="N124" s="19"/>
      <x:c r="O124" s="19"/>
      <x:c r="P124" s="19"/>
      <x:c r="Q124" s="19"/>
      <x:c r="R124" s="19"/>
      <x:c r="S124" s="19"/>
      <x:c r="T124" s="19"/>
      <x:c r="U124" s="1"/>
      <x:c r="V124" s="1"/>
      <x:c r="W124" s="1"/>
      <x:c r="X124" s="1"/>
      <x:c r="Y124" s="1"/>
      <x:c r="Z124" s="1"/>
      <x:c r="AA124" s="1"/>
      <x:c r="AB124" s="9"/>
      <x:c r="AC124" s="9"/>
      <x:c r="AD124" s="10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</x:row>
    <x:row r="125" spans="1:52">
      <x:c r="A125" s="10"/>
      <x:c r="B125" s="1"/>
      <x:c r="C125" s="19"/>
      <x:c r="D125" s="19"/>
      <x:c r="E125" s="19"/>
      <x:c r="F125" s="19"/>
      <x:c r="G125" s="1"/>
      <x:c r="H125" s="31"/>
      <x:c r="I125" s="30"/>
      <x:c r="J125" s="10"/>
      <x:c r="K125" s="1"/>
      <x:c r="L125" s="1"/>
      <x:c r="M125" s="19"/>
      <x:c r="N125" s="19"/>
      <x:c r="O125" s="19"/>
      <x:c r="P125" s="19"/>
      <x:c r="Q125" s="19"/>
      <x:c r="R125" s="19"/>
      <x:c r="S125" s="19"/>
      <x:c r="T125" s="19"/>
      <x:c r="U125" s="1"/>
      <x:c r="V125" s="1"/>
      <x:c r="W125" s="1"/>
      <x:c r="X125" s="1"/>
      <x:c r="Y125" s="1"/>
      <x:c r="Z125" s="1"/>
      <x:c r="AA125" s="1"/>
      <x:c r="AB125" s="9"/>
      <x:c r="AC125" s="9"/>
      <x:c r="AD125" s="10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</x:row>
    <x:row r="126" spans="1:52">
      <x:c r="A126" s="10"/>
      <x:c r="B126" s="1"/>
      <x:c r="C126" s="19"/>
      <x:c r="D126" s="19"/>
      <x:c r="E126" s="19"/>
      <x:c r="F126" s="19"/>
      <x:c r="G126" s="1"/>
      <x:c r="H126" s="31"/>
      <x:c r="I126" s="30"/>
      <x:c r="J126" s="10"/>
      <x:c r="K126" s="1"/>
      <x:c r="L126" s="1"/>
      <x:c r="M126" s="19"/>
      <x:c r="N126" s="19"/>
      <x:c r="O126" s="19"/>
      <x:c r="P126" s="19"/>
      <x:c r="Q126" s="19"/>
      <x:c r="R126" s="19"/>
      <x:c r="S126" s="19"/>
      <x:c r="T126" s="19"/>
      <x:c r="U126" s="1"/>
      <x:c r="V126" s="1"/>
      <x:c r="W126" s="1"/>
      <x:c r="X126" s="1"/>
      <x:c r="Y126" s="1"/>
      <x:c r="Z126" s="1"/>
      <x:c r="AA126" s="1"/>
      <x:c r="AB126" s="9"/>
      <x:c r="AC126" s="9"/>
      <x:c r="AD126" s="10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</x:row>
    <x:row r="127" spans="1:52">
      <x:c r="A127" s="10"/>
      <x:c r="B127" s="1"/>
      <x:c r="C127" s="19"/>
      <x:c r="D127" s="19"/>
      <x:c r="E127" s="19"/>
      <x:c r="F127" s="19"/>
      <x:c r="G127" s="1"/>
      <x:c r="H127" s="31"/>
      <x:c r="I127" s="30"/>
      <x:c r="J127" s="10"/>
      <x:c r="K127" s="1"/>
      <x:c r="L127" s="1"/>
      <x:c r="M127" s="19"/>
      <x:c r="N127" s="19"/>
      <x:c r="O127" s="19"/>
      <x:c r="P127" s="19"/>
      <x:c r="Q127" s="19"/>
      <x:c r="R127" s="19"/>
      <x:c r="S127" s="19"/>
      <x:c r="T127" s="19"/>
      <x:c r="U127" s="1"/>
      <x:c r="V127" s="1"/>
      <x:c r="W127" s="1"/>
      <x:c r="X127" s="1"/>
      <x:c r="Y127" s="1"/>
      <x:c r="Z127" s="1"/>
      <x:c r="AA127" s="1"/>
      <x:c r="AB127" s="9"/>
      <x:c r="AC127" s="9"/>
      <x:c r="AD127" s="10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</x:row>
    <x:row r="128" spans="1:52">
      <x:c r="A128" s="10"/>
      <x:c r="B128" s="1"/>
      <x:c r="C128" s="19"/>
      <x:c r="D128" s="19"/>
      <x:c r="E128" s="19"/>
      <x:c r="F128" s="19"/>
      <x:c r="G128" s="1"/>
      <x:c r="H128" s="31"/>
      <x:c r="I128" s="30"/>
      <x:c r="J128" s="10"/>
      <x:c r="K128" s="1"/>
      <x:c r="L128" s="1"/>
      <x:c r="M128" s="19"/>
      <x:c r="N128" s="19"/>
      <x:c r="O128" s="19"/>
      <x:c r="P128" s="19"/>
      <x:c r="Q128" s="19"/>
      <x:c r="R128" s="19"/>
      <x:c r="S128" s="19"/>
      <x:c r="T128" s="19"/>
      <x:c r="U128" s="1"/>
      <x:c r="V128" s="1"/>
      <x:c r="W128" s="1"/>
      <x:c r="X128" s="1"/>
      <x:c r="Y128" s="1"/>
      <x:c r="Z128" s="1"/>
      <x:c r="AA128" s="1"/>
      <x:c r="AB128" s="9"/>
      <x:c r="AC128" s="9"/>
      <x:c r="AD128" s="10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</x:row>
    <x:row r="129" spans="1:52">
      <x:c r="A129" s="10"/>
      <x:c r="B129" s="1"/>
      <x:c r="C129" s="19"/>
      <x:c r="D129" s="19"/>
      <x:c r="E129" s="19"/>
      <x:c r="F129" s="19"/>
      <x:c r="G129" s="1"/>
      <x:c r="H129" s="31"/>
      <x:c r="I129" s="30"/>
      <x:c r="J129" s="10"/>
      <x:c r="K129" s="1"/>
      <x:c r="L129" s="1"/>
      <x:c r="M129" s="19"/>
      <x:c r="N129" s="19"/>
      <x:c r="O129" s="19"/>
      <x:c r="P129" s="19"/>
      <x:c r="Q129" s="19"/>
      <x:c r="R129" s="19"/>
      <x:c r="S129" s="19"/>
      <x:c r="T129" s="19"/>
      <x:c r="U129" s="1"/>
      <x:c r="V129" s="1"/>
      <x:c r="W129" s="1"/>
      <x:c r="X129" s="1"/>
      <x:c r="Y129" s="1"/>
      <x:c r="Z129" s="1"/>
      <x:c r="AA129" s="1"/>
      <x:c r="AB129" s="9"/>
      <x:c r="AC129" s="9"/>
      <x:c r="AD129" s="10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</x:row>
    <x:row r="130" spans="1:52">
      <x:c r="A130" s="10"/>
      <x:c r="B130" s="1"/>
      <x:c r="C130" s="19"/>
      <x:c r="D130" s="19"/>
      <x:c r="E130" s="19"/>
      <x:c r="F130" s="19"/>
      <x:c r="G130" s="1"/>
      <x:c r="H130" s="31"/>
      <x:c r="I130" s="30"/>
      <x:c r="J130" s="10"/>
      <x:c r="K130" s="1"/>
      <x:c r="L130" s="1"/>
      <x:c r="M130" s="19"/>
      <x:c r="N130" s="19"/>
      <x:c r="O130" s="19"/>
      <x:c r="P130" s="19"/>
      <x:c r="Q130" s="19"/>
      <x:c r="R130" s="19"/>
      <x:c r="S130" s="19"/>
      <x:c r="T130" s="19"/>
      <x:c r="U130" s="1"/>
      <x:c r="V130" s="1"/>
      <x:c r="W130" s="1"/>
      <x:c r="X130" s="1"/>
      <x:c r="Y130" s="1"/>
      <x:c r="Z130" s="1"/>
      <x:c r="AA130" s="1"/>
      <x:c r="AB130" s="9"/>
      <x:c r="AC130" s="9"/>
      <x:c r="AD130" s="10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</x:row>
    <x:row r="131" spans="1:52">
      <x:c r="A131" s="10"/>
      <x:c r="B131" s="1"/>
      <x:c r="C131" s="19"/>
      <x:c r="D131" s="19"/>
      <x:c r="E131" s="19"/>
      <x:c r="F131" s="19"/>
      <x:c r="G131" s="1"/>
      <x:c r="H131" s="31"/>
      <x:c r="I131" s="30"/>
      <x:c r="J131" s="10"/>
      <x:c r="K131" s="1"/>
      <x:c r="L131" s="1"/>
      <x:c r="M131" s="19"/>
      <x:c r="N131" s="19"/>
      <x:c r="O131" s="19"/>
      <x:c r="P131" s="19"/>
      <x:c r="Q131" s="19"/>
      <x:c r="R131" s="19"/>
      <x:c r="S131" s="19"/>
      <x:c r="T131" s="19"/>
      <x:c r="U131" s="1"/>
      <x:c r="V131" s="1"/>
      <x:c r="W131" s="1"/>
      <x:c r="X131" s="1"/>
      <x:c r="Y131" s="1"/>
      <x:c r="Z131" s="1"/>
      <x:c r="AA131" s="1"/>
      <x:c r="AB131" s="9"/>
      <x:c r="AC131" s="9"/>
      <x:c r="AD131" s="10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</x:row>
    <x:row r="132" spans="1:52">
      <x:c r="A132" s="10"/>
      <x:c r="B132" s="1"/>
      <x:c r="C132" s="19"/>
      <x:c r="D132" s="19"/>
      <x:c r="E132" s="19"/>
      <x:c r="F132" s="19"/>
      <x:c r="G132" s="1"/>
      <x:c r="H132" s="31"/>
      <x:c r="I132" s="30"/>
      <x:c r="J132" s="10"/>
      <x:c r="K132" s="1"/>
      <x:c r="L132" s="1"/>
      <x:c r="M132" s="19"/>
      <x:c r="N132" s="19"/>
      <x:c r="O132" s="19"/>
      <x:c r="P132" s="19"/>
      <x:c r="Q132" s="19"/>
      <x:c r="R132" s="19"/>
      <x:c r="S132" s="19"/>
      <x:c r="T132" s="19"/>
      <x:c r="U132" s="1"/>
      <x:c r="V132" s="1"/>
      <x:c r="W132" s="1"/>
      <x:c r="X132" s="1"/>
      <x:c r="Y132" s="1"/>
      <x:c r="Z132" s="1"/>
      <x:c r="AA132" s="1"/>
      <x:c r="AB132" s="9"/>
      <x:c r="AC132" s="9"/>
      <x:c r="AD132" s="10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</x:row>
    <x:row r="133" spans="1:52">
      <x:c r="A133" s="10"/>
      <x:c r="B133" s="1"/>
      <x:c r="C133" s="19"/>
      <x:c r="D133" s="19"/>
      <x:c r="E133" s="19"/>
      <x:c r="F133" s="19"/>
      <x:c r="G133" s="1"/>
      <x:c r="H133" s="31"/>
      <x:c r="I133" s="30"/>
      <x:c r="J133" s="10"/>
      <x:c r="K133" s="1"/>
      <x:c r="L133" s="1"/>
      <x:c r="M133" s="19"/>
      <x:c r="N133" s="19"/>
      <x:c r="O133" s="19"/>
      <x:c r="P133" s="19"/>
      <x:c r="Q133" s="19"/>
      <x:c r="R133" s="19"/>
      <x:c r="S133" s="19"/>
      <x:c r="T133" s="19"/>
      <x:c r="U133" s="1"/>
      <x:c r="V133" s="1"/>
      <x:c r="W133" s="1"/>
      <x:c r="X133" s="1"/>
      <x:c r="Y133" s="1"/>
      <x:c r="Z133" s="1"/>
      <x:c r="AA133" s="1"/>
      <x:c r="AB133" s="9"/>
      <x:c r="AC133" s="9"/>
      <x:c r="AD133" s="10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</x:row>
    <x:row r="134" spans="1:52">
      <x:c r="A134" s="10"/>
      <x:c r="B134" s="1"/>
      <x:c r="C134" s="19"/>
      <x:c r="D134" s="19"/>
      <x:c r="E134" s="19"/>
      <x:c r="F134" s="19"/>
      <x:c r="G134" s="1"/>
      <x:c r="H134" s="31"/>
      <x:c r="I134" s="30"/>
      <x:c r="J134" s="10"/>
      <x:c r="K134" s="1"/>
      <x:c r="L134" s="1"/>
      <x:c r="M134" s="19"/>
      <x:c r="N134" s="19"/>
      <x:c r="O134" s="19"/>
      <x:c r="P134" s="19"/>
      <x:c r="Q134" s="19"/>
      <x:c r="R134" s="19"/>
      <x:c r="S134" s="19"/>
      <x:c r="T134" s="19"/>
      <x:c r="U134" s="1"/>
      <x:c r="V134" s="1"/>
      <x:c r="W134" s="1"/>
      <x:c r="X134" s="1"/>
      <x:c r="Y134" s="1"/>
      <x:c r="Z134" s="1"/>
      <x:c r="AA134" s="1"/>
      <x:c r="AB134" s="9"/>
      <x:c r="AC134" s="9"/>
      <x:c r="AD134" s="10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</x:row>
    <x:row r="135" spans="1:52">
      <x:c r="A135" s="10"/>
      <x:c r="B135" s="1"/>
      <x:c r="C135" s="19"/>
      <x:c r="D135" s="19"/>
      <x:c r="E135" s="19"/>
      <x:c r="F135" s="19"/>
      <x:c r="G135" s="1"/>
      <x:c r="H135" s="31"/>
      <x:c r="I135" s="30"/>
      <x:c r="J135" s="10"/>
      <x:c r="K135" s="1"/>
      <x:c r="L135" s="1"/>
      <x:c r="M135" s="19"/>
      <x:c r="N135" s="19"/>
      <x:c r="O135" s="19"/>
      <x:c r="P135" s="19"/>
      <x:c r="Q135" s="19"/>
      <x:c r="R135" s="19"/>
      <x:c r="S135" s="19"/>
      <x:c r="T135" s="19"/>
      <x:c r="U135" s="1"/>
      <x:c r="V135" s="1"/>
      <x:c r="W135" s="1"/>
      <x:c r="X135" s="1"/>
      <x:c r="Y135" s="1"/>
      <x:c r="Z135" s="1"/>
      <x:c r="AA135" s="1"/>
      <x:c r="AB135" s="9"/>
      <x:c r="AC135" s="9"/>
      <x:c r="AD135" s="10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</x:row>
    <x:row r="136" spans="1:52">
      <x:c r="A136" s="10"/>
      <x:c r="B136" s="1"/>
      <x:c r="C136" s="19"/>
      <x:c r="D136" s="19"/>
      <x:c r="E136" s="19"/>
      <x:c r="F136" s="19"/>
      <x:c r="G136" s="1"/>
      <x:c r="H136" s="31"/>
      <x:c r="I136" s="30"/>
      <x:c r="J136" s="10"/>
      <x:c r="K136" s="1"/>
      <x:c r="L136" s="1"/>
      <x:c r="M136" s="19"/>
      <x:c r="N136" s="19"/>
      <x:c r="O136" s="19"/>
      <x:c r="P136" s="19"/>
      <x:c r="Q136" s="19"/>
      <x:c r="R136" s="19"/>
      <x:c r="S136" s="19"/>
      <x:c r="T136" s="19"/>
      <x:c r="U136" s="1"/>
      <x:c r="V136" s="1"/>
      <x:c r="W136" s="1"/>
      <x:c r="X136" s="1"/>
      <x:c r="Y136" s="1"/>
      <x:c r="Z136" s="1"/>
      <x:c r="AA136" s="1"/>
      <x:c r="AB136" s="9"/>
      <x:c r="AC136" s="9"/>
      <x:c r="AD136" s="10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</x:row>
    <x:row r="137" spans="1:52">
      <x:c r="A137" s="10"/>
      <x:c r="B137" s="1"/>
      <x:c r="C137" s="19"/>
      <x:c r="D137" s="19"/>
      <x:c r="E137" s="19"/>
      <x:c r="F137" s="19"/>
      <x:c r="G137" s="1"/>
      <x:c r="H137" s="31"/>
      <x:c r="I137" s="30"/>
      <x:c r="J137" s="10"/>
      <x:c r="K137" s="1"/>
      <x:c r="L137" s="1"/>
      <x:c r="M137" s="19"/>
      <x:c r="N137" s="19"/>
      <x:c r="O137" s="19"/>
      <x:c r="P137" s="19"/>
      <x:c r="Q137" s="19"/>
      <x:c r="R137" s="19"/>
      <x:c r="S137" s="19"/>
      <x:c r="T137" s="19"/>
      <x:c r="U137" s="1"/>
      <x:c r="V137" s="1"/>
      <x:c r="W137" s="1"/>
      <x:c r="X137" s="1"/>
      <x:c r="Y137" s="1"/>
      <x:c r="Z137" s="1"/>
      <x:c r="AA137" s="1"/>
      <x:c r="AB137" s="9"/>
      <x:c r="AC137" s="9"/>
      <x:c r="AD137" s="10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</x:row>
    <x:row r="138" spans="1:52">
      <x:c r="A138" s="10"/>
      <x:c r="B138" s="1"/>
      <x:c r="C138" s="19"/>
      <x:c r="D138" s="19"/>
      <x:c r="E138" s="19"/>
      <x:c r="F138" s="19"/>
      <x:c r="G138" s="1"/>
      <x:c r="H138" s="31"/>
      <x:c r="I138" s="30"/>
      <x:c r="J138" s="10"/>
      <x:c r="K138" s="1"/>
      <x:c r="L138" s="1"/>
      <x:c r="M138" s="19"/>
      <x:c r="N138" s="19"/>
      <x:c r="O138" s="19"/>
      <x:c r="P138" s="19"/>
      <x:c r="Q138" s="19"/>
      <x:c r="R138" s="19"/>
      <x:c r="S138" s="19"/>
      <x:c r="T138" s="19"/>
      <x:c r="U138" s="1"/>
      <x:c r="V138" s="1"/>
      <x:c r="W138" s="1"/>
      <x:c r="X138" s="1"/>
      <x:c r="Y138" s="1"/>
      <x:c r="Z138" s="1"/>
      <x:c r="AA138" s="1"/>
      <x:c r="AB138" s="9"/>
      <x:c r="AC138" s="9"/>
      <x:c r="AD138" s="10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</x:row>
    <x:row r="139" spans="1:52">
      <x:c r="A139" s="10"/>
      <x:c r="B139" s="1"/>
      <x:c r="C139" s="19"/>
      <x:c r="D139" s="19"/>
      <x:c r="E139" s="19"/>
      <x:c r="F139" s="19"/>
      <x:c r="G139" s="1"/>
      <x:c r="H139" s="31"/>
      <x:c r="I139" s="30"/>
      <x:c r="J139" s="10"/>
      <x:c r="K139" s="1"/>
      <x:c r="L139" s="1"/>
      <x:c r="M139" s="19"/>
      <x:c r="N139" s="19"/>
      <x:c r="O139" s="19"/>
      <x:c r="P139" s="19"/>
      <x:c r="Q139" s="19"/>
      <x:c r="R139" s="19"/>
      <x:c r="S139" s="19"/>
      <x:c r="T139" s="19"/>
      <x:c r="U139" s="1"/>
      <x:c r="V139" s="1"/>
      <x:c r="W139" s="1"/>
      <x:c r="X139" s="1"/>
      <x:c r="Y139" s="1"/>
      <x:c r="Z139" s="1"/>
      <x:c r="AA139" s="1"/>
      <x:c r="AB139" s="9"/>
      <x:c r="AC139" s="9"/>
      <x:c r="AD139" s="10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</x:row>
    <x:row r="140" spans="1:52">
      <x:c r="A140" s="10"/>
      <x:c r="B140" s="1"/>
      <x:c r="C140" s="19"/>
      <x:c r="D140" s="19"/>
      <x:c r="E140" s="19"/>
      <x:c r="F140" s="19"/>
      <x:c r="G140" s="1"/>
      <x:c r="H140" s="31"/>
      <x:c r="I140" s="30"/>
      <x:c r="J140" s="10"/>
      <x:c r="K140" s="1"/>
      <x:c r="L140" s="1"/>
      <x:c r="M140" s="19"/>
      <x:c r="N140" s="19"/>
      <x:c r="O140" s="19"/>
      <x:c r="P140" s="19"/>
      <x:c r="Q140" s="19"/>
      <x:c r="R140" s="19"/>
      <x:c r="S140" s="19"/>
      <x:c r="T140" s="19"/>
      <x:c r="U140" s="1"/>
      <x:c r="V140" s="1"/>
      <x:c r="W140" s="1"/>
      <x:c r="X140" s="1"/>
      <x:c r="Y140" s="1"/>
      <x:c r="Z140" s="1"/>
      <x:c r="AA140" s="1"/>
      <x:c r="AB140" s="9"/>
      <x:c r="AC140" s="9"/>
      <x:c r="AD140" s="10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</x:row>
    <x:row r="141" spans="1:52">
      <x:c r="A141" s="10"/>
      <x:c r="B141" s="1"/>
      <x:c r="C141" s="19"/>
      <x:c r="D141" s="19"/>
      <x:c r="E141" s="19"/>
      <x:c r="F141" s="19"/>
      <x:c r="G141" s="1"/>
      <x:c r="H141" s="31"/>
      <x:c r="I141" s="30"/>
      <x:c r="J141" s="10"/>
      <x:c r="K141" s="1"/>
      <x:c r="L141" s="1"/>
      <x:c r="M141" s="19"/>
      <x:c r="N141" s="19"/>
      <x:c r="O141" s="19"/>
      <x:c r="P141" s="19"/>
      <x:c r="Q141" s="19"/>
      <x:c r="R141" s="19"/>
      <x:c r="S141" s="19"/>
      <x:c r="T141" s="19"/>
      <x:c r="U141" s="1"/>
      <x:c r="V141" s="1"/>
      <x:c r="W141" s="1"/>
      <x:c r="X141" s="1"/>
      <x:c r="Y141" s="1"/>
      <x:c r="Z141" s="1"/>
      <x:c r="AA141" s="1"/>
      <x:c r="AB141" s="9"/>
      <x:c r="AC141" s="9"/>
      <x:c r="AD141" s="10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</x:row>
    <x:row r="142" spans="1:52">
      <x:c r="A142" s="10"/>
      <x:c r="B142" s="1"/>
      <x:c r="C142" s="19"/>
      <x:c r="D142" s="19"/>
      <x:c r="E142" s="19"/>
      <x:c r="F142" s="19"/>
      <x:c r="G142" s="1"/>
      <x:c r="H142" s="31"/>
      <x:c r="I142" s="30"/>
      <x:c r="J142" s="10"/>
      <x:c r="K142" s="1"/>
      <x:c r="L142" s="1"/>
      <x:c r="M142" s="19"/>
      <x:c r="N142" s="19"/>
      <x:c r="O142" s="19"/>
      <x:c r="P142" s="19"/>
      <x:c r="Q142" s="19"/>
      <x:c r="R142" s="19"/>
      <x:c r="S142" s="19"/>
      <x:c r="T142" s="19"/>
      <x:c r="U142" s="1"/>
      <x:c r="V142" s="1"/>
      <x:c r="W142" s="1"/>
      <x:c r="X142" s="1"/>
      <x:c r="Y142" s="1"/>
      <x:c r="Z142" s="1"/>
      <x:c r="AA142" s="1"/>
      <x:c r="AB142" s="9"/>
      <x:c r="AC142" s="9"/>
      <x:c r="AD142" s="10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</x:row>
    <x:row r="143" spans="1:52">
      <x:c r="A143" s="10"/>
      <x:c r="B143" s="1"/>
      <x:c r="C143" s="19"/>
      <x:c r="D143" s="19"/>
      <x:c r="E143" s="19"/>
      <x:c r="F143" s="19"/>
      <x:c r="G143" s="1"/>
      <x:c r="H143" s="31"/>
      <x:c r="I143" s="30"/>
      <x:c r="J143" s="10"/>
      <x:c r="K143" s="1"/>
      <x:c r="L143" s="1"/>
      <x:c r="M143" s="19"/>
      <x:c r="N143" s="19"/>
      <x:c r="O143" s="19"/>
      <x:c r="P143" s="19"/>
      <x:c r="Q143" s="19"/>
      <x:c r="R143" s="19"/>
      <x:c r="S143" s="19"/>
      <x:c r="T143" s="19"/>
      <x:c r="U143" s="1"/>
      <x:c r="V143" s="1"/>
      <x:c r="W143" s="1"/>
      <x:c r="X143" s="1"/>
      <x:c r="Y143" s="1"/>
      <x:c r="Z143" s="1"/>
      <x:c r="AA143" s="1"/>
      <x:c r="AB143" s="9"/>
      <x:c r="AC143" s="9"/>
      <x:c r="AD143" s="10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</x:row>
    <x:row r="144" spans="1:52">
      <x:c r="A144" s="10"/>
      <x:c r="B144" s="1"/>
      <x:c r="C144" s="19"/>
      <x:c r="D144" s="19"/>
      <x:c r="E144" s="19"/>
      <x:c r="F144" s="19"/>
      <x:c r="G144" s="1"/>
      <x:c r="H144" s="31"/>
      <x:c r="I144" s="30"/>
      <x:c r="J144" s="10"/>
      <x:c r="K144" s="1"/>
      <x:c r="L144" s="1"/>
      <x:c r="M144" s="19"/>
      <x:c r="N144" s="19"/>
      <x:c r="O144" s="19"/>
      <x:c r="P144" s="19"/>
      <x:c r="Q144" s="19"/>
      <x:c r="R144" s="19"/>
      <x:c r="S144" s="19"/>
      <x:c r="T144" s="19"/>
      <x:c r="U144" s="1"/>
      <x:c r="V144" s="1"/>
      <x:c r="W144" s="1"/>
      <x:c r="X144" s="1"/>
      <x:c r="Y144" s="1"/>
      <x:c r="Z144" s="1"/>
      <x:c r="AA144" s="1"/>
      <x:c r="AB144" s="9"/>
      <x:c r="AC144" s="9"/>
      <x:c r="AD144" s="10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  <x:c r="AQ144" s="5"/>
      <x:c r="AR144" s="5"/>
      <x:c r="AS144" s="5"/>
      <x:c r="AT144" s="5"/>
      <x:c r="AU144" s="5"/>
      <x:c r="AV144" s="5"/>
      <x:c r="AW144" s="5"/>
      <x:c r="AX144" s="5"/>
      <x:c r="AY144" s="5"/>
      <x:c r="AZ144" s="5"/>
    </x:row>
    <x:row r="145" spans="1:52">
      <x:c r="A145" s="10"/>
      <x:c r="B145" s="1"/>
      <x:c r="C145" s="19"/>
      <x:c r="D145" s="19"/>
      <x:c r="E145" s="19"/>
      <x:c r="F145" s="19"/>
      <x:c r="G145" s="1"/>
      <x:c r="H145" s="31"/>
      <x:c r="I145" s="30"/>
      <x:c r="J145" s="10"/>
      <x:c r="K145" s="1"/>
      <x:c r="L145" s="1"/>
      <x:c r="M145" s="19"/>
      <x:c r="N145" s="19"/>
      <x:c r="O145" s="19"/>
      <x:c r="P145" s="19"/>
      <x:c r="Q145" s="19"/>
      <x:c r="R145" s="19"/>
      <x:c r="S145" s="19"/>
      <x:c r="T145" s="19"/>
      <x:c r="U145" s="1"/>
      <x:c r="V145" s="1"/>
      <x:c r="W145" s="1"/>
      <x:c r="X145" s="1"/>
      <x:c r="Y145" s="1"/>
      <x:c r="Z145" s="1"/>
      <x:c r="AA145" s="1"/>
      <x:c r="AB145" s="9"/>
      <x:c r="AC145" s="9"/>
      <x:c r="AD145" s="10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</x:row>
    <x:row r="146" spans="1:52">
      <x:c r="A146" s="10"/>
      <x:c r="B146" s="1"/>
      <x:c r="C146" s="19"/>
      <x:c r="D146" s="19"/>
      <x:c r="E146" s="19"/>
      <x:c r="F146" s="19"/>
      <x:c r="G146" s="1"/>
      <x:c r="H146" s="31"/>
      <x:c r="I146" s="30"/>
      <x:c r="J146" s="10"/>
      <x:c r="K146" s="1"/>
      <x:c r="L146" s="1"/>
      <x:c r="M146" s="19"/>
      <x:c r="N146" s="19"/>
      <x:c r="O146" s="19"/>
      <x:c r="P146" s="19"/>
      <x:c r="Q146" s="19"/>
      <x:c r="R146" s="19"/>
      <x:c r="S146" s="19"/>
      <x:c r="T146" s="19"/>
      <x:c r="U146" s="1"/>
      <x:c r="V146" s="1"/>
      <x:c r="W146" s="1"/>
      <x:c r="X146" s="1"/>
      <x:c r="Y146" s="1"/>
      <x:c r="Z146" s="1"/>
      <x:c r="AA146" s="1"/>
      <x:c r="AB146" s="9"/>
      <x:c r="AC146" s="9"/>
      <x:c r="AD146" s="10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</x:row>
    <x:row r="147" spans="1:52">
      <x:c r="A147" s="10"/>
      <x:c r="B147" s="1"/>
      <x:c r="C147" s="19"/>
      <x:c r="D147" s="19"/>
      <x:c r="E147" s="19"/>
      <x:c r="F147" s="19"/>
      <x:c r="G147" s="1"/>
      <x:c r="H147" s="31"/>
      <x:c r="I147" s="30"/>
      <x:c r="J147" s="10"/>
      <x:c r="K147" s="1"/>
      <x:c r="L147" s="1"/>
      <x:c r="M147" s="19"/>
      <x:c r="N147" s="19"/>
      <x:c r="O147" s="19"/>
      <x:c r="P147" s="19"/>
      <x:c r="Q147" s="19"/>
      <x:c r="R147" s="19"/>
      <x:c r="S147" s="19"/>
      <x:c r="T147" s="19"/>
      <x:c r="U147" s="1"/>
      <x:c r="V147" s="1"/>
      <x:c r="W147" s="1"/>
      <x:c r="X147" s="1"/>
      <x:c r="Y147" s="1"/>
      <x:c r="Z147" s="1"/>
      <x:c r="AA147" s="1"/>
      <x:c r="AB147" s="9"/>
      <x:c r="AC147" s="9"/>
      <x:c r="AD147" s="10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</x:row>
    <x:row r="148" spans="1:52">
      <x:c r="A148" s="10"/>
      <x:c r="B148" s="1"/>
      <x:c r="C148" s="19"/>
      <x:c r="D148" s="19"/>
      <x:c r="E148" s="19"/>
      <x:c r="F148" s="19"/>
      <x:c r="G148" s="1"/>
      <x:c r="H148" s="31"/>
      <x:c r="I148" s="30"/>
      <x:c r="J148" s="10"/>
      <x:c r="K148" s="1"/>
      <x:c r="L148" s="1"/>
      <x:c r="M148" s="19"/>
      <x:c r="N148" s="19"/>
      <x:c r="O148" s="19"/>
      <x:c r="P148" s="19"/>
      <x:c r="Q148" s="19"/>
      <x:c r="R148" s="19"/>
      <x:c r="S148" s="19"/>
      <x:c r="T148" s="19"/>
      <x:c r="U148" s="1"/>
      <x:c r="V148" s="1"/>
      <x:c r="W148" s="1"/>
      <x:c r="X148" s="1"/>
      <x:c r="Y148" s="1"/>
      <x:c r="Z148" s="1"/>
      <x:c r="AA148" s="1"/>
      <x:c r="AB148" s="9"/>
      <x:c r="AC148" s="9"/>
      <x:c r="AD148" s="10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</x:row>
    <x:row r="149" spans="1:52">
      <x:c r="A149" s="10"/>
      <x:c r="B149" s="1"/>
      <x:c r="C149" s="19"/>
      <x:c r="D149" s="19"/>
      <x:c r="E149" s="19"/>
      <x:c r="F149" s="19"/>
      <x:c r="G149" s="1"/>
      <x:c r="H149" s="31"/>
      <x:c r="I149" s="30"/>
      <x:c r="J149" s="10"/>
      <x:c r="K149" s="1"/>
      <x:c r="L149" s="1"/>
      <x:c r="M149" s="19"/>
      <x:c r="N149" s="19"/>
      <x:c r="O149" s="19"/>
      <x:c r="P149" s="19"/>
      <x:c r="Q149" s="19"/>
      <x:c r="R149" s="19"/>
      <x:c r="S149" s="19"/>
      <x:c r="T149" s="19"/>
      <x:c r="U149" s="1"/>
      <x:c r="V149" s="1"/>
      <x:c r="W149" s="1"/>
      <x:c r="X149" s="1"/>
      <x:c r="Y149" s="1"/>
      <x:c r="Z149" s="1"/>
      <x:c r="AA149" s="1"/>
      <x:c r="AB149" s="9"/>
      <x:c r="AC149" s="9"/>
      <x:c r="AD149" s="10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</x:row>
    <x:row r="150" spans="1:52">
      <x:c r="A150" s="10"/>
      <x:c r="B150" s="1"/>
      <x:c r="C150" s="19"/>
      <x:c r="D150" s="19"/>
      <x:c r="E150" s="19"/>
      <x:c r="F150" s="19"/>
      <x:c r="G150" s="1"/>
      <x:c r="H150" s="31"/>
      <x:c r="I150" s="30"/>
      <x:c r="J150" s="10"/>
      <x:c r="K150" s="1"/>
      <x:c r="L150" s="1"/>
      <x:c r="M150" s="19"/>
      <x:c r="N150" s="19"/>
      <x:c r="O150" s="19"/>
      <x:c r="P150" s="19"/>
      <x:c r="Q150" s="19"/>
      <x:c r="R150" s="19"/>
      <x:c r="S150" s="19"/>
      <x:c r="T150" s="19"/>
      <x:c r="U150" s="1"/>
      <x:c r="V150" s="1"/>
      <x:c r="W150" s="1"/>
      <x:c r="X150" s="1"/>
      <x:c r="Y150" s="1"/>
      <x:c r="Z150" s="1"/>
      <x:c r="AA150" s="1"/>
      <x:c r="AB150" s="9"/>
      <x:c r="AC150" s="9"/>
      <x:c r="AD150" s="10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</x:row>
    <x:row r="151" spans="1:52">
      <x:c r="A151" s="10"/>
      <x:c r="B151" s="1"/>
      <x:c r="C151" s="19"/>
      <x:c r="D151" s="19"/>
      <x:c r="E151" s="19"/>
      <x:c r="F151" s="19"/>
      <x:c r="G151" s="1"/>
      <x:c r="H151" s="31"/>
      <x:c r="I151" s="30"/>
      <x:c r="J151" s="10"/>
      <x:c r="K151" s="1"/>
      <x:c r="L151" s="1"/>
      <x:c r="M151" s="19"/>
      <x:c r="N151" s="19"/>
      <x:c r="O151" s="19"/>
      <x:c r="P151" s="19"/>
      <x:c r="Q151" s="19"/>
      <x:c r="R151" s="19"/>
      <x:c r="S151" s="19"/>
      <x:c r="T151" s="19"/>
      <x:c r="U151" s="1"/>
      <x:c r="V151" s="1"/>
      <x:c r="W151" s="1"/>
      <x:c r="X151" s="1"/>
      <x:c r="Y151" s="1"/>
      <x:c r="Z151" s="1"/>
      <x:c r="AA151" s="1"/>
      <x:c r="AB151" s="9"/>
      <x:c r="AC151" s="9"/>
      <x:c r="AD151" s="10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</x:row>
    <x:row r="152" spans="1:52">
      <x:c r="A152" s="10"/>
      <x:c r="B152" s="1"/>
      <x:c r="C152" s="19"/>
      <x:c r="D152" s="19"/>
      <x:c r="E152" s="19"/>
      <x:c r="F152" s="19"/>
      <x:c r="G152" s="1"/>
      <x:c r="H152" s="31"/>
      <x:c r="I152" s="30"/>
      <x:c r="J152" s="10"/>
      <x:c r="K152" s="1"/>
      <x:c r="L152" s="1"/>
      <x:c r="M152" s="19"/>
      <x:c r="N152" s="19"/>
      <x:c r="O152" s="19"/>
      <x:c r="P152" s="19"/>
      <x:c r="Q152" s="19"/>
      <x:c r="R152" s="19"/>
      <x:c r="S152" s="19"/>
      <x:c r="T152" s="19"/>
      <x:c r="U152" s="1"/>
      <x:c r="V152" s="1"/>
      <x:c r="W152" s="1"/>
      <x:c r="X152" s="1"/>
      <x:c r="Y152" s="1"/>
      <x:c r="Z152" s="1"/>
      <x:c r="AA152" s="1"/>
      <x:c r="AB152" s="9"/>
      <x:c r="AC152" s="9"/>
      <x:c r="AD152" s="10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  <x:c r="AQ152" s="5"/>
      <x:c r="AR152" s="5"/>
      <x:c r="AS152" s="5"/>
      <x:c r="AT152" s="5"/>
      <x:c r="AU152" s="5"/>
      <x:c r="AV152" s="5"/>
      <x:c r="AW152" s="5"/>
      <x:c r="AX152" s="5"/>
      <x:c r="AY152" s="5"/>
      <x:c r="AZ152" s="5"/>
    </x:row>
    <x:row r="153" spans="1:52">
      <x:c r="A153" s="10"/>
      <x:c r="B153" s="1"/>
      <x:c r="C153" s="19"/>
      <x:c r="D153" s="19"/>
      <x:c r="E153" s="19"/>
      <x:c r="F153" s="19"/>
      <x:c r="G153" s="1"/>
      <x:c r="H153" s="31"/>
      <x:c r="I153" s="30"/>
      <x:c r="J153" s="10"/>
      <x:c r="K153" s="1"/>
      <x:c r="L153" s="1"/>
      <x:c r="M153" s="19"/>
      <x:c r="N153" s="19"/>
      <x:c r="O153" s="19"/>
      <x:c r="P153" s="19"/>
      <x:c r="Q153" s="19"/>
      <x:c r="R153" s="19"/>
      <x:c r="S153" s="19"/>
      <x:c r="T153" s="19"/>
      <x:c r="U153" s="1"/>
      <x:c r="V153" s="1"/>
      <x:c r="W153" s="1"/>
      <x:c r="X153" s="1"/>
      <x:c r="Y153" s="1"/>
      <x:c r="Z153" s="1"/>
      <x:c r="AA153" s="1"/>
      <x:c r="AB153" s="9"/>
      <x:c r="AC153" s="9"/>
      <x:c r="AD153" s="10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</x:row>
    <x:row r="154" spans="1:52">
      <x:c r="A154" s="10"/>
      <x:c r="B154" s="1"/>
      <x:c r="C154" s="19"/>
      <x:c r="D154" s="19"/>
      <x:c r="E154" s="19"/>
      <x:c r="F154" s="19"/>
      <x:c r="G154" s="1"/>
      <x:c r="H154" s="31"/>
      <x:c r="I154" s="30"/>
      <x:c r="J154" s="10"/>
      <x:c r="K154" s="1"/>
      <x:c r="L154" s="1"/>
      <x:c r="M154" s="19"/>
      <x:c r="N154" s="19"/>
      <x:c r="O154" s="19"/>
      <x:c r="P154" s="19"/>
      <x:c r="Q154" s="19"/>
      <x:c r="R154" s="19"/>
      <x:c r="S154" s="19"/>
      <x:c r="T154" s="19"/>
      <x:c r="U154" s="1"/>
      <x:c r="V154" s="1"/>
      <x:c r="W154" s="1"/>
      <x:c r="X154" s="1"/>
      <x:c r="Y154" s="1"/>
      <x:c r="Z154" s="1"/>
      <x:c r="AA154" s="1"/>
      <x:c r="AB154" s="9"/>
      <x:c r="AC154" s="9"/>
      <x:c r="AD154" s="10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</x:row>
    <x:row r="155" spans="1:52">
      <x:c r="A155" s="10"/>
      <x:c r="B155" s="1"/>
      <x:c r="C155" s="19"/>
      <x:c r="D155" s="19"/>
      <x:c r="E155" s="19"/>
      <x:c r="F155" s="19"/>
      <x:c r="G155" s="1"/>
      <x:c r="H155" s="31"/>
      <x:c r="I155" s="30"/>
      <x:c r="J155" s="10"/>
      <x:c r="K155" s="1"/>
      <x:c r="L155" s="1"/>
      <x:c r="M155" s="19"/>
      <x:c r="N155" s="19"/>
      <x:c r="O155" s="19"/>
      <x:c r="P155" s="19"/>
      <x:c r="Q155" s="19"/>
      <x:c r="R155" s="19"/>
      <x:c r="S155" s="19"/>
      <x:c r="T155" s="19"/>
      <x:c r="U155" s="1"/>
      <x:c r="V155" s="1"/>
      <x:c r="W155" s="1"/>
      <x:c r="X155" s="1"/>
      <x:c r="Y155" s="1"/>
      <x:c r="Z155" s="1"/>
      <x:c r="AA155" s="1"/>
      <x:c r="AB155" s="9"/>
      <x:c r="AC155" s="9"/>
      <x:c r="AD155" s="10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</x:row>
    <x:row r="156" spans="1:52">
      <x:c r="A156" s="10"/>
      <x:c r="B156" s="1"/>
      <x:c r="C156" s="19"/>
      <x:c r="D156" s="19"/>
      <x:c r="E156" s="19"/>
      <x:c r="F156" s="19"/>
      <x:c r="G156" s="1"/>
      <x:c r="H156" s="31"/>
      <x:c r="I156" s="30"/>
      <x:c r="J156" s="10"/>
      <x:c r="K156" s="1"/>
      <x:c r="L156" s="1"/>
      <x:c r="M156" s="19"/>
      <x:c r="N156" s="19"/>
      <x:c r="O156" s="19"/>
      <x:c r="P156" s="19"/>
      <x:c r="Q156" s="19"/>
      <x:c r="R156" s="19"/>
      <x:c r="S156" s="19"/>
      <x:c r="T156" s="19"/>
      <x:c r="U156" s="1"/>
      <x:c r="V156" s="1"/>
      <x:c r="W156" s="1"/>
      <x:c r="X156" s="1"/>
      <x:c r="Y156" s="1"/>
      <x:c r="Z156" s="1"/>
      <x:c r="AA156" s="1"/>
      <x:c r="AB156" s="9"/>
      <x:c r="AC156" s="9"/>
      <x:c r="AD156" s="10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</x:row>
    <x:row r="157" spans="1:52">
      <x:c r="A157" s="10"/>
      <x:c r="B157" s="1"/>
      <x:c r="C157" s="19"/>
      <x:c r="D157" s="19"/>
      <x:c r="E157" s="19"/>
      <x:c r="F157" s="19"/>
      <x:c r="G157" s="1"/>
      <x:c r="H157" s="31"/>
      <x:c r="I157" s="30"/>
      <x:c r="J157" s="10"/>
      <x:c r="K157" s="1"/>
      <x:c r="L157" s="1"/>
      <x:c r="M157" s="19"/>
      <x:c r="N157" s="19"/>
      <x:c r="O157" s="19"/>
      <x:c r="P157" s="19"/>
      <x:c r="Q157" s="19"/>
      <x:c r="R157" s="19"/>
      <x:c r="S157" s="19"/>
      <x:c r="T157" s="19"/>
      <x:c r="U157" s="1"/>
      <x:c r="V157" s="1"/>
      <x:c r="W157" s="1"/>
      <x:c r="X157" s="1"/>
      <x:c r="Y157" s="1"/>
      <x:c r="Z157" s="1"/>
      <x:c r="AA157" s="1"/>
      <x:c r="AB157" s="9"/>
      <x:c r="AC157" s="9"/>
      <x:c r="AD157" s="10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  <x:c r="AQ157" s="5"/>
      <x:c r="AR157" s="5"/>
      <x:c r="AS157" s="5"/>
      <x:c r="AT157" s="5"/>
      <x:c r="AU157" s="5"/>
      <x:c r="AV157" s="5"/>
      <x:c r="AW157" s="5"/>
      <x:c r="AX157" s="5"/>
      <x:c r="AY157" s="5"/>
      <x:c r="AZ157" s="5"/>
    </x:row>
    <x:row r="158" spans="1:52">
      <x:c r="A158" s="10"/>
      <x:c r="B158" s="1"/>
      <x:c r="C158" s="19"/>
      <x:c r="D158" s="19"/>
      <x:c r="E158" s="19"/>
      <x:c r="F158" s="19"/>
      <x:c r="G158" s="1"/>
      <x:c r="H158" s="31"/>
      <x:c r="I158" s="30"/>
      <x:c r="J158" s="10"/>
      <x:c r="K158" s="1"/>
      <x:c r="L158" s="1"/>
      <x:c r="M158" s="19"/>
      <x:c r="N158" s="19"/>
      <x:c r="O158" s="19"/>
      <x:c r="P158" s="19"/>
      <x:c r="Q158" s="19"/>
      <x:c r="R158" s="19"/>
      <x:c r="S158" s="19"/>
      <x:c r="T158" s="19"/>
      <x:c r="U158" s="1"/>
      <x:c r="V158" s="1"/>
      <x:c r="W158" s="1"/>
      <x:c r="X158" s="1"/>
      <x:c r="Y158" s="1"/>
      <x:c r="Z158" s="1"/>
      <x:c r="AA158" s="1"/>
      <x:c r="AB158" s="9"/>
      <x:c r="AC158" s="9"/>
      <x:c r="AD158" s="10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  <x:c r="AQ158" s="5"/>
      <x:c r="AR158" s="5"/>
      <x:c r="AS158" s="5"/>
      <x:c r="AT158" s="5"/>
      <x:c r="AU158" s="5"/>
      <x:c r="AV158" s="5"/>
      <x:c r="AW158" s="5"/>
      <x:c r="AX158" s="5"/>
      <x:c r="AY158" s="5"/>
      <x:c r="AZ158" s="5"/>
    </x:row>
    <x:row r="159" spans="1:52">
      <x:c r="A159" s="10"/>
      <x:c r="B159" s="1"/>
      <x:c r="C159" s="19"/>
      <x:c r="D159" s="19"/>
      <x:c r="E159" s="19"/>
      <x:c r="F159" s="19"/>
      <x:c r="G159" s="1"/>
      <x:c r="H159" s="31"/>
      <x:c r="I159" s="30"/>
      <x:c r="J159" s="10"/>
      <x:c r="K159" s="1"/>
      <x:c r="L159" s="1"/>
      <x:c r="M159" s="19"/>
      <x:c r="N159" s="19"/>
      <x:c r="O159" s="19"/>
      <x:c r="P159" s="19"/>
      <x:c r="Q159" s="19"/>
      <x:c r="R159" s="19"/>
      <x:c r="S159" s="19"/>
      <x:c r="T159" s="19"/>
      <x:c r="U159" s="1"/>
      <x:c r="V159" s="1"/>
      <x:c r="W159" s="1"/>
      <x:c r="X159" s="1"/>
      <x:c r="Y159" s="1"/>
      <x:c r="Z159" s="1"/>
      <x:c r="AA159" s="1"/>
      <x:c r="AB159" s="9"/>
      <x:c r="AC159" s="9"/>
      <x:c r="AD159" s="10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</x:row>
    <x:row r="160" spans="1:52">
      <x:c r="A160" s="10"/>
      <x:c r="B160" s="1"/>
      <x:c r="C160" s="19"/>
      <x:c r="D160" s="19"/>
      <x:c r="E160" s="19"/>
      <x:c r="F160" s="19"/>
      <x:c r="G160" s="1"/>
      <x:c r="H160" s="31"/>
      <x:c r="I160" s="30"/>
      <x:c r="J160" s="10"/>
      <x:c r="K160" s="1"/>
      <x:c r="L160" s="1"/>
      <x:c r="M160" s="19"/>
      <x:c r="N160" s="19"/>
      <x:c r="O160" s="19"/>
      <x:c r="P160" s="19"/>
      <x:c r="Q160" s="19"/>
      <x:c r="R160" s="19"/>
      <x:c r="S160" s="19"/>
      <x:c r="T160" s="19"/>
      <x:c r="U160" s="1"/>
      <x:c r="V160" s="1"/>
      <x:c r="W160" s="1"/>
      <x:c r="X160" s="1"/>
      <x:c r="Y160" s="1"/>
      <x:c r="Z160" s="1"/>
      <x:c r="AA160" s="1"/>
      <x:c r="AB160" s="9"/>
      <x:c r="AC160" s="9"/>
      <x:c r="AD160" s="10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</x:row>
    <x:row r="161" spans="1:52">
      <x:c r="A161" s="10"/>
      <x:c r="B161" s="1"/>
      <x:c r="C161" s="19"/>
      <x:c r="D161" s="19"/>
      <x:c r="E161" s="19"/>
      <x:c r="F161" s="19"/>
      <x:c r="G161" s="1"/>
      <x:c r="H161" s="31"/>
      <x:c r="I161" s="30"/>
      <x:c r="J161" s="10"/>
      <x:c r="K161" s="1"/>
      <x:c r="L161" s="1"/>
      <x:c r="M161" s="19"/>
      <x:c r="N161" s="19"/>
      <x:c r="O161" s="19"/>
      <x:c r="P161" s="19"/>
      <x:c r="Q161" s="19"/>
      <x:c r="R161" s="19"/>
      <x:c r="S161" s="19"/>
      <x:c r="T161" s="19"/>
      <x:c r="U161" s="1"/>
      <x:c r="V161" s="1"/>
      <x:c r="W161" s="1"/>
      <x:c r="X161" s="1"/>
      <x:c r="Y161" s="1"/>
      <x:c r="Z161" s="1"/>
      <x:c r="AA161" s="1"/>
      <x:c r="AB161" s="9"/>
      <x:c r="AC161" s="9"/>
      <x:c r="AD161" s="10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</x:row>
    <x:row r="162" spans="1:52">
      <x:c r="A162" s="10"/>
      <x:c r="B162" s="1"/>
      <x:c r="C162" s="19"/>
      <x:c r="D162" s="19"/>
      <x:c r="E162" s="19"/>
      <x:c r="F162" s="19"/>
      <x:c r="G162" s="1"/>
      <x:c r="H162" s="31"/>
      <x:c r="I162" s="30"/>
      <x:c r="J162" s="10"/>
      <x:c r="K162" s="1"/>
      <x:c r="L162" s="1"/>
      <x:c r="M162" s="19"/>
      <x:c r="N162" s="19"/>
      <x:c r="O162" s="19"/>
      <x:c r="P162" s="19"/>
      <x:c r="Q162" s="19"/>
      <x:c r="R162" s="19"/>
      <x:c r="S162" s="19"/>
      <x:c r="T162" s="19"/>
      <x:c r="U162" s="1"/>
      <x:c r="V162" s="1"/>
      <x:c r="W162" s="1"/>
      <x:c r="X162" s="1"/>
      <x:c r="Y162" s="1"/>
      <x:c r="Z162" s="1"/>
      <x:c r="AA162" s="1"/>
      <x:c r="AB162" s="9"/>
      <x:c r="AC162" s="9"/>
      <x:c r="AD162" s="10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</x:row>
    <x:row r="163" spans="1:52">
      <x:c r="A163" s="10"/>
      <x:c r="B163" s="1"/>
      <x:c r="C163" s="19"/>
      <x:c r="D163" s="19"/>
      <x:c r="E163" s="19"/>
      <x:c r="F163" s="19"/>
      <x:c r="G163" s="1"/>
      <x:c r="H163" s="31"/>
      <x:c r="I163" s="30"/>
      <x:c r="J163" s="10"/>
      <x:c r="K163" s="1"/>
      <x:c r="L163" s="1"/>
      <x:c r="M163" s="19"/>
      <x:c r="N163" s="19"/>
      <x:c r="O163" s="19"/>
      <x:c r="P163" s="19"/>
      <x:c r="Q163" s="19"/>
      <x:c r="R163" s="19"/>
      <x:c r="S163" s="19"/>
      <x:c r="T163" s="19"/>
      <x:c r="U163" s="1"/>
      <x:c r="V163" s="1"/>
      <x:c r="W163" s="1"/>
      <x:c r="X163" s="1"/>
      <x:c r="Y163" s="1"/>
      <x:c r="Z163" s="1"/>
      <x:c r="AA163" s="1"/>
      <x:c r="AB163" s="9"/>
      <x:c r="AC163" s="9"/>
      <x:c r="AD163" s="10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</x:row>
    <x:row r="164" spans="1:52">
      <x:c r="A164" s="10"/>
      <x:c r="B164" s="1"/>
      <x:c r="C164" s="19"/>
      <x:c r="D164" s="19"/>
      <x:c r="E164" s="19"/>
      <x:c r="F164" s="19"/>
      <x:c r="G164" s="1"/>
      <x:c r="H164" s="31"/>
      <x:c r="I164" s="30"/>
      <x:c r="J164" s="10"/>
      <x:c r="K164" s="1"/>
      <x:c r="L164" s="1"/>
      <x:c r="M164" s="19"/>
      <x:c r="N164" s="19"/>
      <x:c r="O164" s="19"/>
      <x:c r="P164" s="19"/>
      <x:c r="Q164" s="19"/>
      <x:c r="R164" s="19"/>
      <x:c r="S164" s="19"/>
      <x:c r="T164" s="19"/>
      <x:c r="U164" s="1"/>
      <x:c r="V164" s="1"/>
      <x:c r="W164" s="1"/>
      <x:c r="X164" s="1"/>
      <x:c r="Y164" s="1"/>
      <x:c r="Z164" s="1"/>
      <x:c r="AA164" s="1"/>
      <x:c r="AB164" s="9"/>
      <x:c r="AC164" s="9"/>
      <x:c r="AD164" s="10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</x:row>
    <x:row r="165" spans="1:52">
      <x:c r="A165" s="10"/>
      <x:c r="B165" s="1"/>
      <x:c r="C165" s="19"/>
      <x:c r="D165" s="19"/>
      <x:c r="E165" s="19"/>
      <x:c r="F165" s="19"/>
      <x:c r="G165" s="1"/>
      <x:c r="H165" s="31"/>
      <x:c r="I165" s="30"/>
      <x:c r="J165" s="10"/>
      <x:c r="K165" s="1"/>
      <x:c r="L165" s="1"/>
      <x:c r="M165" s="19"/>
      <x:c r="N165" s="19"/>
      <x:c r="O165" s="19"/>
      <x:c r="P165" s="19"/>
      <x:c r="Q165" s="19"/>
      <x:c r="R165" s="19"/>
      <x:c r="S165" s="19"/>
      <x:c r="T165" s="19"/>
      <x:c r="U165" s="1"/>
      <x:c r="V165" s="1"/>
      <x:c r="W165" s="1"/>
      <x:c r="X165" s="1"/>
      <x:c r="Y165" s="1"/>
      <x:c r="Z165" s="1"/>
      <x:c r="AA165" s="1"/>
      <x:c r="AB165" s="9"/>
      <x:c r="AC165" s="9"/>
      <x:c r="AD165" s="10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</x:row>
    <x:row r="166" spans="1:52">
      <x:c r="A166" s="10"/>
      <x:c r="B166" s="1"/>
      <x:c r="C166" s="19"/>
      <x:c r="D166" s="19"/>
      <x:c r="E166" s="19"/>
      <x:c r="F166" s="19"/>
      <x:c r="G166" s="1"/>
      <x:c r="H166" s="31"/>
      <x:c r="I166" s="30"/>
      <x:c r="J166" s="10"/>
      <x:c r="K166" s="1"/>
      <x:c r="L166" s="1"/>
      <x:c r="M166" s="19"/>
      <x:c r="N166" s="19"/>
      <x:c r="O166" s="19"/>
      <x:c r="P166" s="19"/>
      <x:c r="Q166" s="19"/>
      <x:c r="R166" s="19"/>
      <x:c r="S166" s="19"/>
      <x:c r="T166" s="19"/>
      <x:c r="U166" s="1"/>
      <x:c r="V166" s="1"/>
      <x:c r="W166" s="1"/>
      <x:c r="X166" s="1"/>
      <x:c r="Y166" s="1"/>
      <x:c r="Z166" s="1"/>
      <x:c r="AA166" s="1"/>
      <x:c r="AB166" s="9"/>
      <x:c r="AC166" s="9"/>
      <x:c r="AD166" s="10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</x:row>
    <x:row r="167" spans="1:52">
      <x:c r="A167" s="10"/>
      <x:c r="B167" s="1"/>
      <x:c r="C167" s="19"/>
      <x:c r="D167" s="19"/>
      <x:c r="E167" s="19"/>
      <x:c r="F167" s="19"/>
      <x:c r="G167" s="1"/>
      <x:c r="H167" s="31"/>
      <x:c r="I167" s="30"/>
      <x:c r="J167" s="10"/>
      <x:c r="K167" s="1"/>
      <x:c r="L167" s="1"/>
      <x:c r="M167" s="19"/>
      <x:c r="N167" s="19"/>
      <x:c r="O167" s="19"/>
      <x:c r="P167" s="19"/>
      <x:c r="Q167" s="19"/>
      <x:c r="R167" s="19"/>
      <x:c r="S167" s="19"/>
      <x:c r="T167" s="19"/>
      <x:c r="U167" s="1"/>
      <x:c r="V167" s="1"/>
      <x:c r="W167" s="1"/>
      <x:c r="X167" s="1"/>
      <x:c r="Y167" s="1"/>
      <x:c r="Z167" s="1"/>
      <x:c r="AA167" s="1"/>
      <x:c r="AB167" s="9"/>
      <x:c r="AC167" s="9"/>
      <x:c r="AD167" s="10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</x:row>
    <x:row r="168" spans="1:52">
      <x:c r="A168" s="10"/>
      <x:c r="B168" s="1"/>
      <x:c r="C168" s="19"/>
      <x:c r="D168" s="19"/>
      <x:c r="E168" s="19"/>
      <x:c r="F168" s="19"/>
      <x:c r="G168" s="1"/>
      <x:c r="H168" s="31"/>
      <x:c r="I168" s="30"/>
      <x:c r="J168" s="10"/>
      <x:c r="K168" s="1"/>
      <x:c r="L168" s="1"/>
      <x:c r="M168" s="19"/>
      <x:c r="N168" s="19"/>
      <x:c r="O168" s="19"/>
      <x:c r="P168" s="19"/>
      <x:c r="Q168" s="19"/>
      <x:c r="R168" s="19"/>
      <x:c r="S168" s="19"/>
      <x:c r="T168" s="19"/>
      <x:c r="U168" s="1"/>
      <x:c r="V168" s="1"/>
      <x:c r="W168" s="1"/>
      <x:c r="X168" s="1"/>
      <x:c r="Y168" s="1"/>
      <x:c r="Z168" s="1"/>
      <x:c r="AA168" s="1"/>
      <x:c r="AB168" s="9"/>
      <x:c r="AC168" s="9"/>
      <x:c r="AD168" s="10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/>
    </x:row>
    <x:row r="169" spans="1:52">
      <x:c r="A169" s="10"/>
      <x:c r="B169" s="1"/>
      <x:c r="C169" s="19"/>
      <x:c r="D169" s="19"/>
      <x:c r="E169" s="19"/>
      <x:c r="F169" s="19"/>
      <x:c r="G169" s="1"/>
      <x:c r="H169" s="31"/>
      <x:c r="I169" s="30"/>
      <x:c r="J169" s="10"/>
      <x:c r="K169" s="1"/>
      <x:c r="L169" s="1"/>
      <x:c r="M169" s="19"/>
      <x:c r="N169" s="19"/>
      <x:c r="O169" s="19"/>
      <x:c r="P169" s="19"/>
      <x:c r="Q169" s="19"/>
      <x:c r="R169" s="19"/>
      <x:c r="S169" s="19"/>
      <x:c r="T169" s="19"/>
      <x:c r="U169" s="1"/>
      <x:c r="V169" s="1"/>
      <x:c r="W169" s="1"/>
      <x:c r="X169" s="1"/>
      <x:c r="Y169" s="1"/>
      <x:c r="Z169" s="1"/>
      <x:c r="AA169" s="1"/>
      <x:c r="AB169" s="9"/>
      <x:c r="AC169" s="9"/>
      <x:c r="AD169" s="10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  <x:c r="AQ169" s="5"/>
      <x:c r="AR169" s="5"/>
      <x:c r="AS169" s="5"/>
      <x:c r="AT169" s="5"/>
      <x:c r="AU169" s="5"/>
      <x:c r="AV169" s="5"/>
      <x:c r="AW169" s="5"/>
      <x:c r="AX169" s="5"/>
      <x:c r="AY169" s="5"/>
      <x:c r="AZ169" s="5"/>
    </x:row>
    <x:row r="170" spans="1:52">
      <x:c r="A170" s="10"/>
      <x:c r="B170" s="1"/>
      <x:c r="C170" s="19"/>
      <x:c r="D170" s="19"/>
      <x:c r="E170" s="19"/>
      <x:c r="F170" s="19"/>
      <x:c r="G170" s="1"/>
      <x:c r="H170" s="31"/>
      <x:c r="I170" s="30"/>
      <x:c r="J170" s="10"/>
      <x:c r="K170" s="1"/>
      <x:c r="L170" s="1"/>
      <x:c r="M170" s="19"/>
      <x:c r="N170" s="19"/>
      <x:c r="O170" s="19"/>
      <x:c r="P170" s="19"/>
      <x:c r="Q170" s="19"/>
      <x:c r="R170" s="19"/>
      <x:c r="S170" s="19"/>
      <x:c r="T170" s="19"/>
      <x:c r="U170" s="1"/>
      <x:c r="V170" s="1"/>
      <x:c r="W170" s="1"/>
      <x:c r="X170" s="1"/>
      <x:c r="Y170" s="1"/>
      <x:c r="Z170" s="1"/>
      <x:c r="AA170" s="1"/>
      <x:c r="AB170" s="9"/>
      <x:c r="AC170" s="9"/>
      <x:c r="AD170" s="10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  <x:c r="AQ170" s="5"/>
      <x:c r="AR170" s="5"/>
      <x:c r="AS170" s="5"/>
      <x:c r="AT170" s="5"/>
      <x:c r="AU170" s="5"/>
      <x:c r="AV170" s="5"/>
      <x:c r="AW170" s="5"/>
      <x:c r="AX170" s="5"/>
      <x:c r="AY170" s="5"/>
      <x:c r="AZ170" s="5"/>
    </x:row>
    <x:row r="171" spans="1:52">
      <x:c r="A171" s="10"/>
      <x:c r="B171" s="1"/>
      <x:c r="C171" s="19"/>
      <x:c r="D171" s="19"/>
      <x:c r="E171" s="19"/>
      <x:c r="F171" s="19"/>
      <x:c r="G171" s="1"/>
      <x:c r="H171" s="31"/>
      <x:c r="I171" s="30"/>
      <x:c r="J171" s="10"/>
      <x:c r="K171" s="1"/>
      <x:c r="L171" s="1"/>
      <x:c r="M171" s="19"/>
      <x:c r="N171" s="19"/>
      <x:c r="O171" s="19"/>
      <x:c r="P171" s="19"/>
      <x:c r="Q171" s="19"/>
      <x:c r="R171" s="19"/>
      <x:c r="S171" s="19"/>
      <x:c r="T171" s="19"/>
      <x:c r="U171" s="1"/>
      <x:c r="V171" s="1"/>
      <x:c r="W171" s="1"/>
      <x:c r="X171" s="1"/>
      <x:c r="Y171" s="1"/>
      <x:c r="Z171" s="1"/>
      <x:c r="AA171" s="1"/>
      <x:c r="AB171" s="9"/>
      <x:c r="AC171" s="9"/>
      <x:c r="AD171" s="10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/>
      <x:c r="AR171" s="5"/>
      <x:c r="AS171" s="5"/>
      <x:c r="AT171" s="5"/>
      <x:c r="AU171" s="5"/>
      <x:c r="AV171" s="5"/>
      <x:c r="AW171" s="5"/>
      <x:c r="AX171" s="5"/>
      <x:c r="AY171" s="5"/>
      <x:c r="AZ171" s="5"/>
    </x:row>
    <x:row r="172" spans="1:52">
      <x:c r="A172" s="10"/>
      <x:c r="B172" s="1"/>
      <x:c r="C172" s="19"/>
      <x:c r="D172" s="19"/>
      <x:c r="E172" s="19"/>
      <x:c r="F172" s="19"/>
      <x:c r="G172" s="1"/>
      <x:c r="H172" s="31"/>
      <x:c r="I172" s="30"/>
      <x:c r="J172" s="10"/>
      <x:c r="K172" s="1"/>
      <x:c r="L172" s="1"/>
      <x:c r="M172" s="19"/>
      <x:c r="N172" s="19"/>
      <x:c r="O172" s="19"/>
      <x:c r="P172" s="19"/>
      <x:c r="Q172" s="19"/>
      <x:c r="R172" s="19"/>
      <x:c r="S172" s="19"/>
      <x:c r="T172" s="19"/>
      <x:c r="U172" s="1"/>
      <x:c r="V172" s="1"/>
      <x:c r="W172" s="1"/>
      <x:c r="X172" s="1"/>
      <x:c r="Y172" s="1"/>
      <x:c r="Z172" s="1"/>
      <x:c r="AA172" s="1"/>
      <x:c r="AB172" s="9"/>
      <x:c r="AC172" s="9"/>
      <x:c r="AD172" s="10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</x:row>
    <x:row r="173" spans="1:52">
      <x:c r="A173" s="10"/>
      <x:c r="B173" s="1"/>
      <x:c r="C173" s="19"/>
      <x:c r="D173" s="19"/>
      <x:c r="E173" s="19"/>
      <x:c r="F173" s="19"/>
      <x:c r="G173" s="1"/>
      <x:c r="H173" s="31"/>
      <x:c r="I173" s="30"/>
      <x:c r="J173" s="10"/>
      <x:c r="K173" s="1"/>
      <x:c r="L173" s="1"/>
      <x:c r="M173" s="19"/>
      <x:c r="N173" s="19"/>
      <x:c r="O173" s="19"/>
      <x:c r="P173" s="19"/>
      <x:c r="Q173" s="19"/>
      <x:c r="R173" s="19"/>
      <x:c r="S173" s="19"/>
      <x:c r="T173" s="19"/>
      <x:c r="U173" s="1"/>
      <x:c r="V173" s="1"/>
      <x:c r="W173" s="1"/>
      <x:c r="X173" s="1"/>
      <x:c r="Y173" s="1"/>
      <x:c r="Z173" s="1"/>
      <x:c r="AA173" s="1"/>
      <x:c r="AB173" s="9"/>
      <x:c r="AC173" s="9"/>
      <x:c r="AD173" s="10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/>
    </x:row>
    <x:row r="174" spans="1:52">
      <x:c r="A174" s="10"/>
      <x:c r="B174" s="1"/>
      <x:c r="C174" s="19"/>
      <x:c r="D174" s="19"/>
      <x:c r="E174" s="19"/>
      <x:c r="F174" s="19"/>
      <x:c r="G174" s="1"/>
      <x:c r="H174" s="31"/>
      <x:c r="I174" s="30"/>
      <x:c r="J174" s="10"/>
      <x:c r="K174" s="1"/>
      <x:c r="L174" s="1"/>
      <x:c r="M174" s="19"/>
      <x:c r="N174" s="19"/>
      <x:c r="O174" s="19"/>
      <x:c r="P174" s="19"/>
      <x:c r="Q174" s="19"/>
      <x:c r="R174" s="19"/>
      <x:c r="S174" s="19"/>
      <x:c r="T174" s="19"/>
      <x:c r="U174" s="1"/>
      <x:c r="V174" s="1"/>
      <x:c r="W174" s="1"/>
      <x:c r="X174" s="1"/>
      <x:c r="Y174" s="1"/>
      <x:c r="Z174" s="1"/>
      <x:c r="AA174" s="1"/>
      <x:c r="AB174" s="9"/>
      <x:c r="AC174" s="9"/>
      <x:c r="AD174" s="10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  <x:c r="AQ174" s="5"/>
      <x:c r="AR174" s="5"/>
      <x:c r="AS174" s="5"/>
      <x:c r="AT174" s="5"/>
      <x:c r="AU174" s="5"/>
      <x:c r="AV174" s="5"/>
      <x:c r="AW174" s="5"/>
      <x:c r="AX174" s="5"/>
      <x:c r="AY174" s="5"/>
      <x:c r="AZ174" s="5"/>
    </x:row>
    <x:row r="175" spans="1:52">
      <x:c r="A175" s="10"/>
      <x:c r="B175" s="1"/>
      <x:c r="C175" s="19"/>
      <x:c r="D175" s="19"/>
      <x:c r="E175" s="19"/>
      <x:c r="F175" s="19"/>
      <x:c r="G175" s="1"/>
      <x:c r="H175" s="31"/>
      <x:c r="I175" s="30"/>
      <x:c r="J175" s="10"/>
      <x:c r="K175" s="1"/>
      <x:c r="L175" s="1"/>
      <x:c r="M175" s="19"/>
      <x:c r="N175" s="19"/>
      <x:c r="O175" s="19"/>
      <x:c r="P175" s="19"/>
      <x:c r="Q175" s="19"/>
      <x:c r="R175" s="19"/>
      <x:c r="S175" s="19"/>
      <x:c r="T175" s="19"/>
      <x:c r="U175" s="1"/>
      <x:c r="V175" s="1"/>
      <x:c r="W175" s="1"/>
      <x:c r="X175" s="1"/>
      <x:c r="Y175" s="1"/>
      <x:c r="Z175" s="1"/>
      <x:c r="AA175" s="1"/>
      <x:c r="AB175" s="9"/>
      <x:c r="AC175" s="9"/>
      <x:c r="AD175" s="10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</x:row>
    <x:row r="176" spans="1:52">
      <x:c r="A176" s="10"/>
      <x:c r="B176" s="1"/>
      <x:c r="C176" s="19"/>
      <x:c r="D176" s="19"/>
      <x:c r="E176" s="19"/>
      <x:c r="F176" s="19"/>
      <x:c r="G176" s="1"/>
      <x:c r="H176" s="31"/>
      <x:c r="I176" s="30"/>
      <x:c r="J176" s="10"/>
      <x:c r="K176" s="1"/>
      <x:c r="L176" s="1"/>
      <x:c r="M176" s="19"/>
      <x:c r="N176" s="19"/>
      <x:c r="O176" s="19"/>
      <x:c r="P176" s="19"/>
      <x:c r="Q176" s="19"/>
      <x:c r="R176" s="19"/>
      <x:c r="S176" s="19"/>
      <x:c r="T176" s="19"/>
      <x:c r="U176" s="1"/>
      <x:c r="V176" s="1"/>
      <x:c r="W176" s="1"/>
      <x:c r="X176" s="1"/>
      <x:c r="Y176" s="1"/>
      <x:c r="Z176" s="1"/>
      <x:c r="AA176" s="1"/>
      <x:c r="AB176" s="9"/>
      <x:c r="AC176" s="9"/>
      <x:c r="AD176" s="10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</x:row>
    <x:row r="177" spans="1:52">
      <x:c r="A177" s="10"/>
      <x:c r="B177" s="1"/>
      <x:c r="C177" s="19"/>
      <x:c r="D177" s="19"/>
      <x:c r="E177" s="19"/>
      <x:c r="F177" s="19"/>
      <x:c r="G177" s="1"/>
      <x:c r="H177" s="31"/>
      <x:c r="I177" s="30"/>
      <x:c r="J177" s="10"/>
      <x:c r="K177" s="1"/>
      <x:c r="L177" s="1"/>
      <x:c r="M177" s="19"/>
      <x:c r="N177" s="19"/>
      <x:c r="O177" s="19"/>
      <x:c r="P177" s="19"/>
      <x:c r="Q177" s="19"/>
      <x:c r="R177" s="19"/>
      <x:c r="S177" s="19"/>
      <x:c r="T177" s="19"/>
      <x:c r="U177" s="1"/>
      <x:c r="V177" s="1"/>
      <x:c r="W177" s="1"/>
      <x:c r="X177" s="1"/>
      <x:c r="Y177" s="1"/>
      <x:c r="Z177" s="1"/>
      <x:c r="AA177" s="1"/>
      <x:c r="AB177" s="9"/>
      <x:c r="AC177" s="9"/>
      <x:c r="AD177" s="10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</x:row>
    <x:row r="178" spans="1:52">
      <x:c r="A178" s="10"/>
      <x:c r="B178" s="1"/>
      <x:c r="C178" s="19"/>
      <x:c r="D178" s="19"/>
      <x:c r="E178" s="19"/>
      <x:c r="F178" s="19"/>
      <x:c r="G178" s="1"/>
      <x:c r="H178" s="31"/>
      <x:c r="I178" s="30"/>
      <x:c r="J178" s="10"/>
      <x:c r="K178" s="1"/>
      <x:c r="L178" s="1"/>
      <x:c r="M178" s="19"/>
      <x:c r="N178" s="19"/>
      <x:c r="O178" s="19"/>
      <x:c r="P178" s="19"/>
      <x:c r="Q178" s="19"/>
      <x:c r="R178" s="19"/>
      <x:c r="S178" s="19"/>
      <x:c r="T178" s="19"/>
      <x:c r="U178" s="1"/>
      <x:c r="V178" s="1"/>
      <x:c r="W178" s="1"/>
      <x:c r="X178" s="1"/>
      <x:c r="Y178" s="1"/>
      <x:c r="Z178" s="1"/>
      <x:c r="AA178" s="1"/>
      <x:c r="AB178" s="9"/>
      <x:c r="AC178" s="9"/>
      <x:c r="AD178" s="10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</x:row>
    <x:row r="179" spans="1:52">
      <x:c r="A179" s="10"/>
      <x:c r="B179" s="1"/>
      <x:c r="C179" s="19"/>
      <x:c r="D179" s="19"/>
      <x:c r="E179" s="19"/>
      <x:c r="F179" s="19"/>
      <x:c r="G179" s="1"/>
      <x:c r="H179" s="31"/>
      <x:c r="I179" s="30"/>
      <x:c r="J179" s="10"/>
      <x:c r="K179" s="1"/>
      <x:c r="L179" s="1"/>
      <x:c r="M179" s="19"/>
      <x:c r="N179" s="19"/>
      <x:c r="O179" s="19"/>
      <x:c r="P179" s="19"/>
      <x:c r="Q179" s="19"/>
      <x:c r="R179" s="19"/>
      <x:c r="S179" s="19"/>
      <x:c r="T179" s="19"/>
      <x:c r="U179" s="1"/>
      <x:c r="V179" s="1"/>
      <x:c r="W179" s="1"/>
      <x:c r="X179" s="1"/>
      <x:c r="Y179" s="1"/>
      <x:c r="Z179" s="1"/>
      <x:c r="AA179" s="1"/>
      <x:c r="AB179" s="9"/>
      <x:c r="AC179" s="9"/>
      <x:c r="AD179" s="10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/>
    </x:row>
    <x:row r="180" spans="1:52">
      <x:c r="A180" s="10"/>
      <x:c r="B180" s="1"/>
      <x:c r="C180" s="19"/>
      <x:c r="D180" s="19"/>
      <x:c r="E180" s="19"/>
      <x:c r="F180" s="19"/>
      <x:c r="G180" s="1"/>
      <x:c r="H180" s="31"/>
      <x:c r="I180" s="30"/>
      <x:c r="J180" s="10"/>
      <x:c r="K180" s="1"/>
      <x:c r="L180" s="1"/>
      <x:c r="M180" s="19"/>
      <x:c r="N180" s="19"/>
      <x:c r="O180" s="19"/>
      <x:c r="P180" s="19"/>
      <x:c r="Q180" s="19"/>
      <x:c r="R180" s="19"/>
      <x:c r="S180" s="19"/>
      <x:c r="T180" s="19"/>
      <x:c r="U180" s="1"/>
      <x:c r="V180" s="1"/>
      <x:c r="W180" s="1"/>
      <x:c r="X180" s="1"/>
      <x:c r="Y180" s="1"/>
      <x:c r="Z180" s="1"/>
      <x:c r="AA180" s="1"/>
      <x:c r="AB180" s="9"/>
      <x:c r="AC180" s="9"/>
      <x:c r="AD180" s="10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</x:row>
    <x:row r="181" spans="1:52">
      <x:c r="A181" s="10"/>
      <x:c r="B181" s="1"/>
      <x:c r="C181" s="19"/>
      <x:c r="D181" s="19"/>
      <x:c r="E181" s="19"/>
      <x:c r="F181" s="19"/>
      <x:c r="G181" s="1"/>
      <x:c r="H181" s="31"/>
      <x:c r="I181" s="30"/>
      <x:c r="J181" s="10"/>
      <x:c r="K181" s="1"/>
      <x:c r="L181" s="1"/>
      <x:c r="M181" s="19"/>
      <x:c r="N181" s="19"/>
      <x:c r="O181" s="19"/>
      <x:c r="P181" s="19"/>
      <x:c r="Q181" s="19"/>
      <x:c r="R181" s="19"/>
      <x:c r="S181" s="19"/>
      <x:c r="T181" s="19"/>
      <x:c r="U181" s="1"/>
      <x:c r="V181" s="1"/>
      <x:c r="W181" s="1"/>
      <x:c r="X181" s="1"/>
      <x:c r="Y181" s="1"/>
      <x:c r="Z181" s="1"/>
      <x:c r="AA181" s="1"/>
      <x:c r="AB181" s="9"/>
      <x:c r="AC181" s="9"/>
      <x:c r="AD181" s="10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/>
      <x:c r="AR181" s="5"/>
      <x:c r="AS181" s="5"/>
      <x:c r="AT181" s="5"/>
      <x:c r="AU181" s="5"/>
      <x:c r="AV181" s="5"/>
      <x:c r="AW181" s="5"/>
      <x:c r="AX181" s="5"/>
      <x:c r="AY181" s="5"/>
      <x:c r="AZ181" s="5"/>
    </x:row>
    <x:row r="182" spans="1:52">
      <x:c r="A182" s="10"/>
      <x:c r="B182" s="1"/>
      <x:c r="C182" s="19"/>
      <x:c r="D182" s="19"/>
      <x:c r="E182" s="19"/>
      <x:c r="F182" s="19"/>
      <x:c r="G182" s="1"/>
      <x:c r="H182" s="31"/>
      <x:c r="I182" s="30"/>
      <x:c r="J182" s="10"/>
      <x:c r="K182" s="1"/>
      <x:c r="L182" s="1"/>
      <x:c r="M182" s="19"/>
      <x:c r="N182" s="19"/>
      <x:c r="O182" s="19"/>
      <x:c r="P182" s="19"/>
      <x:c r="Q182" s="19"/>
      <x:c r="R182" s="19"/>
      <x:c r="S182" s="19"/>
      <x:c r="T182" s="19"/>
      <x:c r="U182" s="1"/>
      <x:c r="V182" s="1"/>
      <x:c r="W182" s="1"/>
      <x:c r="X182" s="1"/>
      <x:c r="Y182" s="1"/>
      <x:c r="Z182" s="1"/>
      <x:c r="AA182" s="1"/>
      <x:c r="AB182" s="9"/>
      <x:c r="AC182" s="9"/>
      <x:c r="AD182" s="10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</x:row>
    <x:row r="183" spans="1:52">
      <x:c r="A183" s="10"/>
      <x:c r="B183" s="1"/>
      <x:c r="C183" s="19"/>
      <x:c r="D183" s="19"/>
      <x:c r="E183" s="19"/>
      <x:c r="F183" s="19"/>
      <x:c r="G183" s="1"/>
      <x:c r="H183" s="31"/>
      <x:c r="I183" s="30"/>
      <x:c r="J183" s="10"/>
      <x:c r="K183" s="1"/>
      <x:c r="L183" s="1"/>
      <x:c r="M183" s="19"/>
      <x:c r="N183" s="19"/>
      <x:c r="O183" s="19"/>
      <x:c r="P183" s="19"/>
      <x:c r="Q183" s="19"/>
      <x:c r="R183" s="19"/>
      <x:c r="S183" s="19"/>
      <x:c r="T183" s="19"/>
      <x:c r="U183" s="1"/>
      <x:c r="V183" s="1"/>
      <x:c r="W183" s="1"/>
      <x:c r="X183" s="1"/>
      <x:c r="Y183" s="1"/>
      <x:c r="Z183" s="1"/>
      <x:c r="AA183" s="1"/>
      <x:c r="AB183" s="9"/>
      <x:c r="AC183" s="9"/>
      <x:c r="AD183" s="10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/>
      <x:c r="AR183" s="5"/>
      <x:c r="AS183" s="5"/>
      <x:c r="AT183" s="5"/>
      <x:c r="AU183" s="5"/>
      <x:c r="AV183" s="5"/>
      <x:c r="AW183" s="5"/>
      <x:c r="AX183" s="5"/>
      <x:c r="AY183" s="5"/>
      <x:c r="AZ183" s="5"/>
    </x:row>
    <x:row r="184" spans="1:52">
      <x:c r="A184" s="10"/>
      <x:c r="B184" s="1"/>
      <x:c r="C184" s="19"/>
      <x:c r="D184" s="19"/>
      <x:c r="E184" s="19"/>
      <x:c r="F184" s="19"/>
      <x:c r="G184" s="1"/>
      <x:c r="H184" s="31"/>
      <x:c r="I184" s="30"/>
      <x:c r="J184" s="10"/>
      <x:c r="K184" s="1"/>
      <x:c r="L184" s="1"/>
      <x:c r="M184" s="19"/>
      <x:c r="N184" s="19"/>
      <x:c r="O184" s="19"/>
      <x:c r="P184" s="19"/>
      <x:c r="Q184" s="19"/>
      <x:c r="R184" s="19"/>
      <x:c r="S184" s="19"/>
      <x:c r="T184" s="19"/>
      <x:c r="U184" s="1"/>
      <x:c r="V184" s="1"/>
      <x:c r="W184" s="1"/>
      <x:c r="X184" s="1"/>
      <x:c r="Y184" s="1"/>
      <x:c r="Z184" s="1"/>
      <x:c r="AA184" s="1"/>
      <x:c r="AB184" s="9"/>
      <x:c r="AC184" s="9"/>
      <x:c r="AD184" s="10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/>
      <x:c r="AW184" s="5"/>
      <x:c r="AX184" s="5"/>
      <x:c r="AY184" s="5"/>
      <x:c r="AZ184" s="5"/>
    </x:row>
    <x:row r="185" spans="1:52">
      <x:c r="A185" s="10"/>
      <x:c r="B185" s="1"/>
      <x:c r="C185" s="19"/>
      <x:c r="D185" s="19"/>
      <x:c r="E185" s="19"/>
      <x:c r="F185" s="19"/>
      <x:c r="G185" s="1"/>
      <x:c r="H185" s="31"/>
      <x:c r="I185" s="30"/>
      <x:c r="J185" s="10"/>
      <x:c r="K185" s="1"/>
      <x:c r="L185" s="1"/>
      <x:c r="M185" s="19"/>
      <x:c r="N185" s="19"/>
      <x:c r="O185" s="19"/>
      <x:c r="P185" s="19"/>
      <x:c r="Q185" s="19"/>
      <x:c r="R185" s="19"/>
      <x:c r="S185" s="19"/>
      <x:c r="T185" s="19"/>
      <x:c r="U185" s="1"/>
      <x:c r="V185" s="1"/>
      <x:c r="W185" s="1"/>
      <x:c r="X185" s="1"/>
      <x:c r="Y185" s="1"/>
      <x:c r="Z185" s="1"/>
      <x:c r="AA185" s="1"/>
      <x:c r="AB185" s="9"/>
      <x:c r="AC185" s="9"/>
      <x:c r="AD185" s="10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</x:row>
    <x:row r="186" spans="1:52">
      <x:c r="A186" s="10"/>
      <x:c r="B186" s="1"/>
      <x:c r="C186" s="19"/>
      <x:c r="D186" s="19"/>
      <x:c r="E186" s="19"/>
      <x:c r="F186" s="19"/>
      <x:c r="G186" s="1"/>
      <x:c r="H186" s="31"/>
      <x:c r="I186" s="30"/>
      <x:c r="J186" s="10"/>
      <x:c r="K186" s="1"/>
      <x:c r="L186" s="1"/>
      <x:c r="M186" s="19"/>
      <x:c r="N186" s="19"/>
      <x:c r="O186" s="19"/>
      <x:c r="P186" s="19"/>
      <x:c r="Q186" s="19"/>
      <x:c r="R186" s="19"/>
      <x:c r="S186" s="19"/>
      <x:c r="T186" s="19"/>
      <x:c r="U186" s="1"/>
      <x:c r="V186" s="1"/>
      <x:c r="W186" s="1"/>
      <x:c r="X186" s="1"/>
      <x:c r="Y186" s="1"/>
      <x:c r="Z186" s="1"/>
      <x:c r="AA186" s="1"/>
      <x:c r="AB186" s="9"/>
      <x:c r="AC186" s="9"/>
      <x:c r="AD186" s="10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</x:row>
    <x:row r="187" spans="1:52">
      <x:c r="A187" s="10"/>
      <x:c r="B187" s="1"/>
      <x:c r="C187" s="19"/>
      <x:c r="D187" s="19"/>
      <x:c r="E187" s="19"/>
      <x:c r="F187" s="19"/>
      <x:c r="G187" s="1"/>
      <x:c r="H187" s="31"/>
      <x:c r="I187" s="30"/>
      <x:c r="J187" s="10"/>
      <x:c r="K187" s="1"/>
      <x:c r="L187" s="1"/>
      <x:c r="M187" s="19"/>
      <x:c r="N187" s="19"/>
      <x:c r="O187" s="19"/>
      <x:c r="P187" s="19"/>
      <x:c r="Q187" s="19"/>
      <x:c r="R187" s="19"/>
      <x:c r="S187" s="19"/>
      <x:c r="T187" s="19"/>
      <x:c r="U187" s="1"/>
      <x:c r="V187" s="1"/>
      <x:c r="W187" s="1"/>
      <x:c r="X187" s="1"/>
      <x:c r="Y187" s="1"/>
      <x:c r="Z187" s="1"/>
      <x:c r="AA187" s="1"/>
      <x:c r="AB187" s="9"/>
      <x:c r="AC187" s="9"/>
      <x:c r="AD187" s="10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</x:row>
    <x:row r="188" spans="1:52">
      <x:c r="A188" s="10"/>
      <x:c r="B188" s="1"/>
      <x:c r="C188" s="19"/>
      <x:c r="D188" s="19"/>
      <x:c r="E188" s="19"/>
      <x:c r="F188" s="19"/>
      <x:c r="G188" s="1"/>
      <x:c r="H188" s="31"/>
      <x:c r="I188" s="30"/>
      <x:c r="J188" s="10"/>
      <x:c r="K188" s="1"/>
      <x:c r="L188" s="1"/>
      <x:c r="M188" s="19"/>
      <x:c r="N188" s="19"/>
      <x:c r="O188" s="19"/>
      <x:c r="P188" s="19"/>
      <x:c r="Q188" s="19"/>
      <x:c r="R188" s="19"/>
      <x:c r="S188" s="19"/>
      <x:c r="T188" s="19"/>
      <x:c r="U188" s="1"/>
      <x:c r="V188" s="1"/>
      <x:c r="W188" s="1"/>
      <x:c r="X188" s="1"/>
      <x:c r="Y188" s="1"/>
      <x:c r="Z188" s="1"/>
      <x:c r="AA188" s="1"/>
      <x:c r="AB188" s="9"/>
      <x:c r="AC188" s="9"/>
      <x:c r="AD188" s="10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</x:row>
    <x:row r="189" spans="1:52">
      <x:c r="A189" s="10"/>
      <x:c r="B189" s="1"/>
      <x:c r="C189" s="19"/>
      <x:c r="D189" s="19"/>
      <x:c r="E189" s="19"/>
      <x:c r="F189" s="19"/>
      <x:c r="G189" s="1"/>
      <x:c r="H189" s="31"/>
      <x:c r="I189" s="30"/>
      <x:c r="J189" s="10"/>
      <x:c r="K189" s="1"/>
      <x:c r="L189" s="1"/>
      <x:c r="M189" s="19"/>
      <x:c r="N189" s="19"/>
      <x:c r="O189" s="19"/>
      <x:c r="P189" s="19"/>
      <x:c r="Q189" s="19"/>
      <x:c r="R189" s="19"/>
      <x:c r="S189" s="19"/>
      <x:c r="T189" s="19"/>
      <x:c r="U189" s="1"/>
      <x:c r="V189" s="1"/>
      <x:c r="W189" s="1"/>
      <x:c r="X189" s="1"/>
      <x:c r="Y189" s="1"/>
      <x:c r="Z189" s="1"/>
      <x:c r="AA189" s="1"/>
      <x:c r="AB189" s="9"/>
      <x:c r="AC189" s="9"/>
      <x:c r="AD189" s="10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</x:row>
    <x:row r="190" spans="1:52">
      <x:c r="A190" s="10"/>
      <x:c r="B190" s="1"/>
      <x:c r="C190" s="19"/>
      <x:c r="D190" s="19"/>
      <x:c r="E190" s="19"/>
      <x:c r="F190" s="19"/>
      <x:c r="G190" s="1"/>
      <x:c r="H190" s="31"/>
      <x:c r="I190" s="30"/>
      <x:c r="J190" s="10"/>
      <x:c r="K190" s="1"/>
      <x:c r="L190" s="1"/>
      <x:c r="M190" s="19"/>
      <x:c r="N190" s="19"/>
      <x:c r="O190" s="19"/>
      <x:c r="P190" s="19"/>
      <x:c r="Q190" s="19"/>
      <x:c r="R190" s="19"/>
      <x:c r="S190" s="19"/>
      <x:c r="T190" s="19"/>
      <x:c r="U190" s="1"/>
      <x:c r="V190" s="1"/>
      <x:c r="W190" s="1"/>
      <x:c r="X190" s="1"/>
      <x:c r="Y190" s="1"/>
      <x:c r="Z190" s="1"/>
      <x:c r="AA190" s="1"/>
      <x:c r="AB190" s="9"/>
      <x:c r="AC190" s="9"/>
      <x:c r="AD190" s="10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</x:row>
    <x:row r="191" spans="1:52">
      <x:c r="A191" s="10"/>
      <x:c r="B191" s="1"/>
      <x:c r="C191" s="19"/>
      <x:c r="D191" s="19"/>
      <x:c r="E191" s="19"/>
      <x:c r="F191" s="19"/>
      <x:c r="G191" s="1"/>
      <x:c r="H191" s="31"/>
      <x:c r="I191" s="30"/>
      <x:c r="J191" s="10"/>
      <x:c r="K191" s="1"/>
      <x:c r="L191" s="1"/>
      <x:c r="M191" s="19"/>
      <x:c r="N191" s="19"/>
      <x:c r="O191" s="19"/>
      <x:c r="P191" s="19"/>
      <x:c r="Q191" s="19"/>
      <x:c r="R191" s="19"/>
      <x:c r="S191" s="19"/>
      <x:c r="T191" s="19"/>
      <x:c r="U191" s="1"/>
      <x:c r="V191" s="1"/>
      <x:c r="W191" s="1"/>
      <x:c r="X191" s="1"/>
      <x:c r="Y191" s="1"/>
      <x:c r="Z191" s="1"/>
      <x:c r="AA191" s="1"/>
      <x:c r="AB191" s="9"/>
      <x:c r="AC191" s="9"/>
      <x:c r="AD191" s="10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  <x:c r="AQ191" s="5"/>
      <x:c r="AR191" s="5"/>
      <x:c r="AS191" s="5"/>
      <x:c r="AT191" s="5"/>
      <x:c r="AU191" s="5"/>
      <x:c r="AV191" s="5"/>
      <x:c r="AW191" s="5"/>
      <x:c r="AX191" s="5"/>
      <x:c r="AY191" s="5"/>
      <x:c r="AZ191" s="5"/>
    </x:row>
    <x:row r="192" spans="1:52">
      <x:c r="A192" s="10"/>
      <x:c r="B192" s="1"/>
      <x:c r="C192" s="19"/>
      <x:c r="D192" s="19"/>
      <x:c r="E192" s="19"/>
      <x:c r="F192" s="19"/>
      <x:c r="G192" s="1"/>
      <x:c r="H192" s="31"/>
      <x:c r="I192" s="30"/>
      <x:c r="J192" s="10"/>
      <x:c r="K192" s="1"/>
      <x:c r="L192" s="1"/>
      <x:c r="M192" s="19"/>
      <x:c r="N192" s="19"/>
      <x:c r="O192" s="19"/>
      <x:c r="P192" s="19"/>
      <x:c r="Q192" s="19"/>
      <x:c r="R192" s="19"/>
      <x:c r="S192" s="19"/>
      <x:c r="T192" s="19"/>
      <x:c r="U192" s="1"/>
      <x:c r="V192" s="1"/>
      <x:c r="W192" s="1"/>
      <x:c r="X192" s="1"/>
      <x:c r="Y192" s="1"/>
      <x:c r="Z192" s="1"/>
      <x:c r="AA192" s="1"/>
      <x:c r="AB192" s="9"/>
      <x:c r="AC192" s="9"/>
      <x:c r="AD192" s="10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</x:row>
    <x:row r="193" spans="1:52">
      <x:c r="A193" s="10"/>
      <x:c r="B193" s="1"/>
      <x:c r="C193" s="19"/>
      <x:c r="D193" s="19"/>
      <x:c r="E193" s="19"/>
      <x:c r="F193" s="19"/>
      <x:c r="G193" s="1"/>
      <x:c r="H193" s="31"/>
      <x:c r="I193" s="30"/>
      <x:c r="J193" s="10"/>
      <x:c r="K193" s="1"/>
      <x:c r="L193" s="1"/>
      <x:c r="M193" s="19"/>
      <x:c r="N193" s="19"/>
      <x:c r="O193" s="19"/>
      <x:c r="P193" s="19"/>
      <x:c r="Q193" s="19"/>
      <x:c r="R193" s="19"/>
      <x:c r="S193" s="19"/>
      <x:c r="T193" s="19"/>
      <x:c r="U193" s="1"/>
      <x:c r="V193" s="1"/>
      <x:c r="W193" s="1"/>
      <x:c r="X193" s="1"/>
      <x:c r="Y193" s="1"/>
      <x:c r="Z193" s="1"/>
      <x:c r="AA193" s="1"/>
      <x:c r="AB193" s="9"/>
      <x:c r="AC193" s="9"/>
      <x:c r="AD193" s="10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/>
    </x:row>
    <x:row r="194" spans="1:52">
      <x:c r="A194" s="10"/>
      <x:c r="B194" s="1"/>
      <x:c r="C194" s="19"/>
      <x:c r="D194" s="19"/>
      <x:c r="E194" s="19"/>
      <x:c r="F194" s="19"/>
      <x:c r="G194" s="1"/>
      <x:c r="H194" s="31"/>
      <x:c r="I194" s="30"/>
      <x:c r="J194" s="10"/>
      <x:c r="K194" s="1"/>
      <x:c r="L194" s="1"/>
      <x:c r="M194" s="19"/>
      <x:c r="N194" s="19"/>
      <x:c r="O194" s="19"/>
      <x:c r="P194" s="19"/>
      <x:c r="Q194" s="19"/>
      <x:c r="R194" s="19"/>
      <x:c r="S194" s="19"/>
      <x:c r="T194" s="19"/>
      <x:c r="U194" s="1"/>
      <x:c r="V194" s="1"/>
      <x:c r="W194" s="1"/>
      <x:c r="X194" s="1"/>
      <x:c r="Y194" s="1"/>
      <x:c r="Z194" s="1"/>
      <x:c r="AA194" s="1"/>
      <x:c r="AB194" s="9"/>
      <x:c r="AC194" s="9"/>
      <x:c r="AD194" s="10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</x:row>
    <x:row r="195" spans="1:52">
      <x:c r="A195" s="10"/>
      <x:c r="B195" s="1"/>
      <x:c r="C195" s="19"/>
      <x:c r="D195" s="19"/>
      <x:c r="E195" s="19"/>
      <x:c r="F195" s="19"/>
      <x:c r="G195" s="1"/>
      <x:c r="H195" s="31"/>
      <x:c r="I195" s="30"/>
      <x:c r="J195" s="10"/>
      <x:c r="K195" s="1"/>
      <x:c r="L195" s="1"/>
      <x:c r="M195" s="19"/>
      <x:c r="N195" s="19"/>
      <x:c r="O195" s="19"/>
      <x:c r="P195" s="19"/>
      <x:c r="Q195" s="19"/>
      <x:c r="R195" s="19"/>
      <x:c r="S195" s="19"/>
      <x:c r="T195" s="19"/>
      <x:c r="U195" s="1"/>
      <x:c r="V195" s="1"/>
      <x:c r="W195" s="1"/>
      <x:c r="X195" s="1"/>
      <x:c r="Y195" s="1"/>
      <x:c r="Z195" s="1"/>
      <x:c r="AA195" s="1"/>
      <x:c r="AB195" s="9"/>
      <x:c r="AC195" s="9"/>
      <x:c r="AD195" s="10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</x:row>
    <x:row r="196" spans="1:52">
      <x:c r="A196" s="10"/>
      <x:c r="B196" s="1"/>
      <x:c r="C196" s="19"/>
      <x:c r="D196" s="19"/>
      <x:c r="E196" s="19"/>
      <x:c r="F196" s="19"/>
      <x:c r="G196" s="1"/>
      <x:c r="H196" s="31"/>
      <x:c r="I196" s="30"/>
      <x:c r="J196" s="10"/>
      <x:c r="K196" s="1"/>
      <x:c r="L196" s="1"/>
      <x:c r="M196" s="19"/>
      <x:c r="N196" s="19"/>
      <x:c r="O196" s="19"/>
      <x:c r="P196" s="19"/>
      <x:c r="Q196" s="19"/>
      <x:c r="R196" s="19"/>
      <x:c r="S196" s="19"/>
      <x:c r="T196" s="19"/>
      <x:c r="U196" s="1"/>
      <x:c r="V196" s="1"/>
      <x:c r="W196" s="1"/>
      <x:c r="X196" s="1"/>
      <x:c r="Y196" s="1"/>
      <x:c r="Z196" s="1"/>
      <x:c r="AA196" s="1"/>
      <x:c r="AB196" s="9"/>
      <x:c r="AC196" s="9"/>
      <x:c r="AD196" s="10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</x:row>
    <x:row r="197" spans="1:52">
      <x:c r="A197" s="10"/>
      <x:c r="B197" s="1"/>
      <x:c r="C197" s="19"/>
      <x:c r="D197" s="19"/>
      <x:c r="E197" s="19"/>
      <x:c r="F197" s="19"/>
      <x:c r="G197" s="1"/>
      <x:c r="H197" s="31"/>
      <x:c r="I197" s="30"/>
      <x:c r="J197" s="10"/>
      <x:c r="K197" s="1"/>
      <x:c r="L197" s="1"/>
      <x:c r="M197" s="19"/>
      <x:c r="N197" s="19"/>
      <x:c r="O197" s="19"/>
      <x:c r="P197" s="19"/>
      <x:c r="Q197" s="19"/>
      <x:c r="R197" s="19"/>
      <x:c r="S197" s="19"/>
      <x:c r="T197" s="19"/>
      <x:c r="U197" s="1"/>
      <x:c r="V197" s="1"/>
      <x:c r="W197" s="1"/>
      <x:c r="X197" s="1"/>
      <x:c r="Y197" s="1"/>
      <x:c r="Z197" s="1"/>
      <x:c r="AA197" s="1"/>
      <x:c r="AB197" s="9"/>
      <x:c r="AC197" s="9"/>
      <x:c r="AD197" s="10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</x:row>
    <x:row r="198" spans="1:52">
      <x:c r="A198" s="10"/>
      <x:c r="B198" s="1"/>
      <x:c r="C198" s="19"/>
      <x:c r="D198" s="19"/>
      <x:c r="E198" s="19"/>
      <x:c r="F198" s="19"/>
      <x:c r="G198" s="1"/>
      <x:c r="H198" s="31"/>
      <x:c r="I198" s="30"/>
      <x:c r="J198" s="10"/>
      <x:c r="K198" s="1"/>
      <x:c r="L198" s="1"/>
      <x:c r="M198" s="19"/>
      <x:c r="N198" s="19"/>
      <x:c r="O198" s="19"/>
      <x:c r="P198" s="19"/>
      <x:c r="Q198" s="19"/>
      <x:c r="R198" s="19"/>
      <x:c r="S198" s="19"/>
      <x:c r="T198" s="19"/>
      <x:c r="U198" s="1"/>
      <x:c r="V198" s="1"/>
      <x:c r="W198" s="1"/>
      <x:c r="X198" s="1"/>
      <x:c r="Y198" s="1"/>
      <x:c r="Z198" s="1"/>
      <x:c r="AA198" s="1"/>
      <x:c r="AB198" s="9"/>
      <x:c r="AC198" s="9"/>
      <x:c r="AD198" s="10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  <x:c r="AQ198" s="5"/>
      <x:c r="AR198" s="5"/>
      <x:c r="AS198" s="5"/>
      <x:c r="AT198" s="5"/>
      <x:c r="AU198" s="5"/>
      <x:c r="AV198" s="5"/>
      <x:c r="AW198" s="5"/>
      <x:c r="AX198" s="5"/>
      <x:c r="AY198" s="5"/>
      <x:c r="AZ198" s="5"/>
    </x:row>
    <x:row r="199" spans="1:52">
      <x:c r="A199" s="10"/>
      <x:c r="B199" s="1"/>
      <x:c r="C199" s="19"/>
      <x:c r="D199" s="19"/>
      <x:c r="E199" s="19"/>
      <x:c r="F199" s="19"/>
      <x:c r="G199" s="1"/>
      <x:c r="H199" s="31"/>
      <x:c r="I199" s="30"/>
      <x:c r="J199" s="10"/>
      <x:c r="K199" s="1"/>
      <x:c r="L199" s="1"/>
      <x:c r="M199" s="19"/>
      <x:c r="N199" s="19"/>
      <x:c r="O199" s="19"/>
      <x:c r="P199" s="19"/>
      <x:c r="Q199" s="19"/>
      <x:c r="R199" s="19"/>
      <x:c r="S199" s="19"/>
      <x:c r="T199" s="19"/>
      <x:c r="U199" s="1"/>
      <x:c r="V199" s="1"/>
      <x:c r="W199" s="1"/>
      <x:c r="X199" s="1"/>
      <x:c r="Y199" s="1"/>
      <x:c r="Z199" s="1"/>
      <x:c r="AA199" s="1"/>
      <x:c r="AB199" s="9"/>
      <x:c r="AC199" s="9"/>
      <x:c r="AD199" s="10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</x:row>
    <x:row r="200" spans="1:52">
      <x:c r="A200" s="10"/>
      <x:c r="B200" s="1"/>
      <x:c r="C200" s="19"/>
      <x:c r="D200" s="19"/>
      <x:c r="E200" s="19"/>
      <x:c r="F200" s="19"/>
      <x:c r="G200" s="1"/>
      <x:c r="H200" s="31"/>
      <x:c r="I200" s="30"/>
      <x:c r="J200" s="10"/>
      <x:c r="K200" s="1"/>
      <x:c r="L200" s="1"/>
      <x:c r="M200" s="19"/>
      <x:c r="N200" s="19"/>
      <x:c r="O200" s="19"/>
      <x:c r="P200" s="19"/>
      <x:c r="Q200" s="19"/>
      <x:c r="R200" s="19"/>
      <x:c r="S200" s="19"/>
      <x:c r="T200" s="19"/>
      <x:c r="U200" s="1"/>
      <x:c r="V200" s="1"/>
      <x:c r="W200" s="1"/>
      <x:c r="X200" s="1"/>
      <x:c r="Y200" s="1"/>
      <x:c r="Z200" s="1"/>
      <x:c r="AA200" s="1"/>
      <x:c r="AB200" s="9"/>
      <x:c r="AC200" s="9"/>
      <x:c r="AD200" s="10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</x:row>
    <x:row r="201" spans="1:52">
      <x:c r="A201" s="10"/>
      <x:c r="B201" s="1"/>
      <x:c r="C201" s="19"/>
      <x:c r="D201" s="19"/>
      <x:c r="E201" s="19"/>
      <x:c r="F201" s="19"/>
      <x:c r="G201" s="1"/>
      <x:c r="H201" s="31"/>
      <x:c r="I201" s="30"/>
      <x:c r="J201" s="10"/>
      <x:c r="K201" s="1"/>
      <x:c r="L201" s="1"/>
      <x:c r="M201" s="19"/>
      <x:c r="N201" s="19"/>
      <x:c r="O201" s="19"/>
      <x:c r="P201" s="19"/>
      <x:c r="Q201" s="19"/>
      <x:c r="R201" s="19"/>
      <x:c r="S201" s="19"/>
      <x:c r="T201" s="19"/>
      <x:c r="U201" s="1"/>
      <x:c r="V201" s="1"/>
      <x:c r="W201" s="1"/>
      <x:c r="X201" s="1"/>
      <x:c r="Y201" s="1"/>
      <x:c r="Z201" s="1"/>
      <x:c r="AA201" s="1"/>
      <x:c r="AB201" s="9"/>
      <x:c r="AC201" s="9"/>
      <x:c r="AD201" s="10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/>
      <x:c r="AR201" s="5"/>
      <x:c r="AS201" s="5"/>
      <x:c r="AT201" s="5"/>
      <x:c r="AU201" s="5"/>
      <x:c r="AV201" s="5"/>
      <x:c r="AW201" s="5"/>
      <x:c r="AX201" s="5"/>
      <x:c r="AY201" s="5"/>
      <x:c r="AZ201" s="5"/>
    </x:row>
    <x:row r="202" spans="1:52">
      <x:c r="A202" s="5"/>
      <x:c r="B202" s="20"/>
      <x:c r="C202" s="20"/>
      <x:c r="D202" s="20"/>
      <x:c r="E202" s="20"/>
      <x:c r="F202" s="20"/>
      <x:c r="G202" s="20"/>
      <x:c r="H202" s="32"/>
      <x:c r="I202" s="34"/>
      <x:c r="J202" s="5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</x:row>
    <x:row r="203" spans="1:52">
      <x:c r="A203" s="5"/>
      <x:c r="B203" s="20"/>
      <x:c r="C203" s="20"/>
      <x:c r="D203" s="20"/>
      <x:c r="E203" s="20"/>
      <x:c r="F203" s="20"/>
      <x:c r="G203" s="20"/>
      <x:c r="H203" s="32"/>
      <x:c r="I203" s="34"/>
      <x:c r="J203" s="5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</x:row>
    <x:row r="204" spans="1:52">
      <x:c r="A204" s="5"/>
      <x:c r="B204" s="20"/>
      <x:c r="C204" s="20"/>
      <x:c r="D204" s="20"/>
      <x:c r="E204" s="20"/>
      <x:c r="F204" s="20"/>
      <x:c r="G204" s="20"/>
      <x:c r="H204" s="32"/>
      <x:c r="I204" s="34"/>
      <x:c r="J204" s="5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</x:row>
    <x:row r="205" spans="1:52">
      <x:c r="A205" s="5"/>
      <x:c r="B205" s="20"/>
      <x:c r="C205" s="20"/>
      <x:c r="D205" s="20"/>
      <x:c r="E205" s="20"/>
      <x:c r="F205" s="20"/>
      <x:c r="G205" s="20"/>
      <x:c r="H205" s="32"/>
      <x:c r="I205" s="34"/>
      <x:c r="J205" s="5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</x:row>
    <x:row r="206" spans="1:52">
      <x:c r="A206" s="5"/>
      <x:c r="B206" s="20"/>
      <x:c r="C206" s="20"/>
      <x:c r="D206" s="20"/>
      <x:c r="E206" s="20"/>
      <x:c r="F206" s="20"/>
      <x:c r="G206" s="20"/>
      <x:c r="H206" s="32"/>
      <x:c r="I206" s="34"/>
      <x:c r="J206" s="5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</x:row>
    <x:row r="207" spans="1:52">
      <x:c r="A207" s="5"/>
      <x:c r="B207" s="20"/>
      <x:c r="C207" s="20"/>
      <x:c r="D207" s="20"/>
      <x:c r="E207" s="20"/>
      <x:c r="F207" s="20"/>
      <x:c r="G207" s="20"/>
      <x:c r="H207" s="32"/>
      <x:c r="I207" s="34"/>
      <x:c r="J207" s="5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/>
    </x:row>
    <x:row r="208" spans="1:52">
      <x:c r="A208" s="5"/>
      <x:c r="B208" s="20"/>
      <x:c r="C208" s="20"/>
      <x:c r="D208" s="20"/>
      <x:c r="E208" s="20"/>
      <x:c r="F208" s="20"/>
      <x:c r="G208" s="20"/>
      <x:c r="H208" s="32"/>
      <x:c r="I208" s="34"/>
      <x:c r="J208" s="5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/>
    </x:row>
    <x:row r="209" spans="1:52">
      <x:c r="A209" s="5"/>
      <x:c r="B209" s="20"/>
      <x:c r="C209" s="20"/>
      <x:c r="D209" s="20"/>
      <x:c r="E209" s="20"/>
      <x:c r="F209" s="20"/>
      <x:c r="G209" s="20"/>
      <x:c r="H209" s="32"/>
      <x:c r="I209" s="34"/>
      <x:c r="J209" s="5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</x:row>
    <x:row r="210" spans="1:52">
      <x:c r="A210" s="5"/>
      <x:c r="B210" s="20"/>
      <x:c r="C210" s="20"/>
      <x:c r="D210" s="20"/>
      <x:c r="E210" s="20"/>
      <x:c r="F210" s="20"/>
      <x:c r="G210" s="20"/>
      <x:c r="H210" s="32"/>
      <x:c r="I210" s="34"/>
      <x:c r="J210" s="5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/>
    </x:row>
    <x:row r="211" spans="1:52">
      <x:c r="A211" s="5"/>
      <x:c r="B211" s="20"/>
      <x:c r="C211" s="20"/>
      <x:c r="D211" s="20"/>
      <x:c r="E211" s="20"/>
      <x:c r="F211" s="20"/>
      <x:c r="G211" s="20"/>
      <x:c r="H211" s="32"/>
      <x:c r="I211" s="34"/>
      <x:c r="J211" s="5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</x:row>
    <x:row r="212" spans="1:52">
      <x:c r="A212" s="5"/>
      <x:c r="B212" s="20"/>
      <x:c r="C212" s="20"/>
      <x:c r="D212" s="20"/>
      <x:c r="E212" s="20"/>
      <x:c r="F212" s="20"/>
      <x:c r="G212" s="20"/>
      <x:c r="H212" s="32"/>
      <x:c r="I212" s="34"/>
      <x:c r="J212" s="5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</x:row>
    <x:row r="213" spans="1:52">
      <x:c r="A213" s="5"/>
      <x:c r="B213" s="20"/>
      <x:c r="C213" s="20"/>
      <x:c r="D213" s="20"/>
      <x:c r="E213" s="20"/>
      <x:c r="F213" s="20"/>
      <x:c r="G213" s="20"/>
      <x:c r="H213" s="32"/>
      <x:c r="I213" s="34"/>
      <x:c r="J213" s="5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</x:row>
    <x:row r="214" spans="1:52">
      <x:c r="A214" s="5"/>
      <x:c r="B214" s="20"/>
      <x:c r="C214" s="20"/>
      <x:c r="D214" s="20"/>
      <x:c r="E214" s="20"/>
      <x:c r="F214" s="20"/>
      <x:c r="G214" s="20"/>
      <x:c r="H214" s="32"/>
      <x:c r="I214" s="34"/>
      <x:c r="J214" s="5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</x:row>
    <x:row r="215" spans="1:52">
      <x:c r="A215" s="5"/>
      <x:c r="B215" s="20"/>
      <x:c r="C215" s="20"/>
      <x:c r="D215" s="20"/>
      <x:c r="E215" s="20"/>
      <x:c r="F215" s="20"/>
      <x:c r="G215" s="20"/>
      <x:c r="H215" s="32"/>
      <x:c r="I215" s="34"/>
      <x:c r="J215" s="5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</x:row>
    <x:row r="216" spans="1:52">
      <x:c r="A216" s="5"/>
      <x:c r="B216" s="20"/>
      <x:c r="C216" s="20"/>
      <x:c r="D216" s="20"/>
      <x:c r="E216" s="20"/>
      <x:c r="F216" s="20"/>
      <x:c r="G216" s="20"/>
      <x:c r="H216" s="32"/>
      <x:c r="I216" s="34"/>
      <x:c r="J216" s="5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</x:row>
    <x:row r="217" spans="1:52">
      <x:c r="A217" s="5"/>
      <x:c r="B217" s="20"/>
      <x:c r="C217" s="20"/>
      <x:c r="D217" s="20"/>
      <x:c r="E217" s="20"/>
      <x:c r="F217" s="20"/>
      <x:c r="G217" s="20"/>
      <x:c r="H217" s="32"/>
      <x:c r="I217" s="34"/>
      <x:c r="J217" s="5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</x:row>
    <x:row r="218" spans="1:52">
      <x:c r="A218" s="5"/>
      <x:c r="B218" s="20"/>
      <x:c r="C218" s="20"/>
      <x:c r="D218" s="20"/>
      <x:c r="E218" s="20"/>
      <x:c r="F218" s="20"/>
      <x:c r="G218" s="20"/>
      <x:c r="H218" s="32"/>
      <x:c r="I218" s="34"/>
      <x:c r="J218" s="5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/>
      <x:c r="AR218" s="5"/>
      <x:c r="AS218" s="5"/>
      <x:c r="AT218" s="5"/>
      <x:c r="AU218" s="5"/>
      <x:c r="AV218" s="5"/>
      <x:c r="AW218" s="5"/>
      <x:c r="AX218" s="5"/>
      <x:c r="AY218" s="5"/>
      <x:c r="AZ218" s="5"/>
    </x:row>
    <x:row r="219" spans="1:52">
      <x:c r="A219" s="5"/>
      <x:c r="B219" s="20"/>
      <x:c r="C219" s="20"/>
      <x:c r="D219" s="20"/>
      <x:c r="E219" s="20"/>
      <x:c r="F219" s="20"/>
      <x:c r="G219" s="20"/>
      <x:c r="H219" s="32"/>
      <x:c r="I219" s="34"/>
      <x:c r="J219" s="5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</x:row>
    <x:row r="220" spans="1:52">
      <x:c r="A220" s="5"/>
      <x:c r="B220" s="20"/>
      <x:c r="C220" s="20"/>
      <x:c r="D220" s="20"/>
      <x:c r="E220" s="20"/>
      <x:c r="F220" s="20"/>
      <x:c r="G220" s="20"/>
      <x:c r="H220" s="32"/>
      <x:c r="I220" s="34"/>
      <x:c r="J220" s="5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</x:row>
    <x:row r="221" spans="1:52">
      <x:c r="A221" s="5"/>
      <x:c r="B221" s="20"/>
      <x:c r="C221" s="20"/>
      <x:c r="D221" s="20"/>
      <x:c r="E221" s="20"/>
      <x:c r="F221" s="20"/>
      <x:c r="G221" s="20"/>
      <x:c r="H221" s="32"/>
      <x:c r="I221" s="34"/>
      <x:c r="J221" s="5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5"/>
      <x:c r="AC221" s="5"/>
      <x:c r="AD221" s="5"/>
      <x:c r="AE221" s="5"/>
      <x:c r="AF221" s="5"/>
      <x:c r="AG221" s="5"/>
      <x:c r="AH221" s="5"/>
      <x:c r="AI221" s="5"/>
      <x:c r="AJ221" s="5"/>
      <x:c r="AK221" s="5"/>
      <x:c r="AL221" s="5"/>
      <x:c r="AM221" s="5"/>
      <x:c r="AN221" s="5"/>
      <x:c r="AO221" s="5"/>
      <x:c r="AP221" s="5"/>
      <x:c r="AQ221" s="5"/>
      <x:c r="AR221" s="5"/>
      <x:c r="AS221" s="5"/>
      <x:c r="AT221" s="5"/>
      <x:c r="AU221" s="5"/>
      <x:c r="AV221" s="5"/>
      <x:c r="AW221" s="5"/>
      <x:c r="AX221" s="5"/>
      <x:c r="AY221" s="5"/>
      <x:c r="AZ221" s="5"/>
    </x:row>
  </x:sheetData>
  <x:mergeCells count="2">
    <x:mergeCell ref="A1:AD2"/>
    <x:mergeCell ref="A3:AD3"/>
  </x:mergeCells>
  <x:conditionalFormatting sqref="L6:L6 L8:L29 L33:L201">
    <x:cfRule type="expression" dxfId="14" priority="7">
      <x:formula>L6="군우편입"</x:formula>
    </x:cfRule>
  </x:conditionalFormatting>
  <x:conditionalFormatting sqref="V5:V29 V33:V201">
    <x:cfRule type="expression" dxfId="14" priority="8">
      <x:formula>AND(V5&lt;&gt;"",V5&lt;TODAY(),AD5="사용")</x:formula>
    </x:cfRule>
  </x:conditionalFormatting>
  <x:conditionalFormatting sqref="L5:L5">
    <x:cfRule type="expression" dxfId="14" priority="6">
      <x:formula>L5="군우편입"</x:formula>
    </x:cfRule>
  </x:conditionalFormatting>
  <x:conditionalFormatting sqref="L7:L7">
    <x:cfRule type="expression" dxfId="14" priority="5">
      <x:formula>L7="군우편입"</x:formula>
    </x:cfRule>
  </x:conditionalFormatting>
  <x:conditionalFormatting sqref="L30:L32">
    <x:cfRule type="expression" dxfId="16" priority="1">
      <x:formula>L30="군우편입"</x:formula>
    </x:cfRule>
  </x:conditionalFormatting>
  <x:conditionalFormatting sqref="V30:V32">
    <x:cfRule type="expression" dxfId="15" priority="2">
      <x:formula>AND(V30&lt;&gt;"",V30&lt;TODAY(),AD30="사용")</x:formula>
    </x:cfRule>
  </x:conditionalFormatting>
  <x:dataValidations count="26">
    <x:dataValidation type="list" sqref="C33:C201 C5:C29">
      <x:formula1>목록!$A$2:$A$3</x:formula1>
    </x:dataValidation>
    <x:dataValidation type="list" sqref="E33:E201 E5:E29">
      <x:formula1>목록!$B$2:$B$7</x:formula1>
    </x:dataValidation>
    <x:dataValidation type="list" sqref="H33:H201 H5:H29">
      <x:formula1>목록!$J$2:$J$6</x:formula1>
    </x:dataValidation>
    <x:dataValidation type="list" sqref="I33:I201 I5:I29">
      <x:formula1>목록!$D$2:$D$8</x:formula1>
    </x:dataValidation>
    <x:dataValidation type="list" sqref="L6:L6 L33:L201 L8:L29">
      <x:formula1>목록!$C$2:$C$10</x:formula1>
    </x:dataValidation>
    <x:dataValidation type="list" sqref="AB33:AB201 AB5:AB29">
      <x:formula1>목록!$E$2:$E$5</x:formula1>
    </x:dataValidation>
    <x:dataValidation type="list" sqref="AD33:AD201 AD5:AD29">
      <x:formula1>목록!$F$2:$F$3</x:formula1>
    </x:dataValidation>
    <x:dataValidation type="list" sqref="M33:M201 M5:M29">
      <x:formula1>",Y"</x:formula1>
    </x:dataValidation>
    <x:dataValidation type="list" sqref="N33:N201 N5:N29">
      <x:formula1>",Y"</x:formula1>
    </x:dataValidation>
    <x:dataValidation type="list" sqref="O33:O201 O5:O29">
      <x:formula1>",Y"</x:formula1>
    </x:dataValidation>
    <x:dataValidation type="list" sqref="P33:P201 P5:P29">
      <x:formula1>",Y"</x:formula1>
    </x:dataValidation>
    <x:dataValidation type="list" sqref="Q33:Q201 Q5:Q29">
      <x:formula1>",Y"</x:formula1>
    </x:dataValidation>
    <x:dataValidation type="list" sqref="R33:R201 R5:R29">
      <x:formula1>",Y"</x:formula1>
    </x:dataValidation>
    <x:dataValidation type="list" sqref="S33:S201 S5:S29">
      <x:formula1>",Y"</x:formula1>
    </x:dataValidation>
    <x:dataValidation type="list" sqref="M30:T32 T33:T201 T5:T29">
      <x:formula1>",Y"</x:formula1>
    </x:dataValidation>
    <x:dataValidation type="list" sqref="L5:L5">
      <x:formula1>목록!$C$2:$C$10</x:formula1>
    </x:dataValidation>
    <x:dataValidation type="list" sqref="L7:L7">
      <x:formula1>목록!$C$2:$C$10</x:formula1>
    </x:dataValidation>
    <x:dataValidation type="list" sqref="C30:C32"/>
    <x:dataValidation type="list" sqref="E30:E32"/>
    <x:dataValidation type="list" sqref="H30:H30"/>
    <x:dataValidation type="list" sqref="I30:I32"/>
    <x:dataValidation type="list" sqref="L30:L32"/>
    <x:dataValidation type="list" sqref="AB30:AB32"/>
    <x:dataValidation type="list" sqref="AD30:AD32"/>
    <x:dataValidation type="list" sqref="H31:H31"/>
    <x:dataValidation type="list" sqref="H32:H32"/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Z265"/>
  <x:sheetViews>
    <x:sheetView topLeftCell="A21" zoomScaleNormal="100" zoomScaleSheetLayoutView="75" workbookViewId="0">
      <x:selection activeCell="D52" activeCellId="0" sqref="D52:D52"/>
    </x:sheetView>
  </x:sheetViews>
  <x:sheetFormatPr defaultColWidth="8.72265625" defaultRowHeight="13.550000000000001"/>
  <x:cols>
    <x:col min="1" max="1" width="14" style="4" customWidth="1"/>
    <x:col min="2" max="2" width="24" style="4" customWidth="1"/>
    <x:col min="3" max="3" width="14" style="4" customWidth="1"/>
    <x:col min="4" max="4" width="33.63671875" style="4" customWidth="1"/>
    <x:col min="5" max="5" width="24" style="4" customWidth="1"/>
    <x:col min="6" max="7" width="10.453125" style="18" customWidth="1"/>
    <x:col min="8" max="9" width="13" style="4" customWidth="1"/>
    <x:col min="10" max="10" width="6.91015625" style="4" customWidth="1"/>
    <x:col min="11" max="12" width="14" style="4" customWidth="1"/>
    <x:col min="13" max="14" width="11" style="4" customWidth="1"/>
    <x:col min="15" max="15" width="12" style="4" customWidth="1"/>
    <x:col min="16" max="16" width="32" style="4" customWidth="1"/>
    <x:col min="17" max="17" width="12" style="4" customWidth="1"/>
    <x:col min="18" max="18" width="11" style="4" customWidth="1"/>
    <x:col min="19" max="19" width="18" style="4" customWidth="1"/>
    <x:col min="20" max="20" width="30" style="4" customWidth="1"/>
    <x:col min="21" max="21" width="28" style="4" customWidth="1"/>
    <x:col min="22" max="22" width="24" style="4" customWidth="1"/>
  </x:cols>
  <x:sheetData>
    <x:row r="1" spans="1:52">
      <x:c r="A1" s="40" t="s">
        <x:v>25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</x:row>
    <x:row r="2" spans="1:5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</x:row>
    <x:row r="3" spans="1:52">
      <x:c r="A3" s="40" t="s">
        <x:v>258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</x:row>
    <x:row r="4" spans="1:52">
      <x:c r="A4" s="21" t="s">
        <x:v>101</x:v>
      </x:c>
      <x:c r="B4" s="21" t="s">
        <x:v>246</x:v>
      </x:c>
      <x:c r="C4" s="21" t="s">
        <x:v>195</x:v>
      </x:c>
      <x:c r="D4" s="6" t="s">
        <x:v>103</x:v>
      </x:c>
      <x:c r="E4" s="6" t="s">
        <x:v>329</x:v>
      </x:c>
      <x:c r="F4" s="21" t="s">
        <x:v>140</x:v>
      </x:c>
      <x:c r="G4" s="21" t="s">
        <x:v>169</x:v>
      </x:c>
      <x:c r="H4" s="6" t="s">
        <x:v>230</x:v>
      </x:c>
      <x:c r="I4" s="6" t="s">
        <x:v>170</x:v>
      </x:c>
      <x:c r="J4" s="21" t="s">
        <x:v>175</x:v>
      </x:c>
      <x:c r="K4" s="6" t="s">
        <x:v>183</x:v>
      </x:c>
      <x:c r="L4" s="6" t="s">
        <x:v>93</x:v>
      </x:c>
      <x:c r="M4" s="6" t="s">
        <x:v>98</x:v>
      </x:c>
      <x:c r="N4" s="6" t="s">
        <x:v>87</x:v>
      </x:c>
      <x:c r="O4" s="6" t="s">
        <x:v>117</x:v>
      </x:c>
      <x:c r="P4" s="6" t="s">
        <x:v>100</x:v>
      </x:c>
      <x:c r="Q4" s="6" t="s">
        <x:v>73</x:v>
      </x:c>
      <x:c r="R4" s="6" t="s">
        <x:v>88</x:v>
      </x:c>
      <x:c r="S4" s="6" t="s">
        <x:v>298</x:v>
      </x:c>
      <x:c r="T4" s="6" t="s">
        <x:v>136</x:v>
      </x:c>
      <x:c r="U4" s="6" t="s">
        <x:v>78</x:v>
      </x:c>
      <x:c r="V4" s="6" t="s">
        <x:v>198</x:v>
      </x:c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</x:row>
    <x:row r="5" spans="1:52">
      <x:c r="A5" s="1" t="s">
        <x:v>345</x:v>
      </x:c>
      <x:c r="B5" s="1" t="s">
        <x:v>366</x:v>
      </x:c>
      <x:c r="C5" s="11" t="s">
        <x:v>133</x:v>
      </x:c>
      <x:c r="D5" s="5" t="s">
        <x:v>34</x:v>
      </x:c>
      <x:c r="E5" s="5" t="s">
        <x:v>14</x:v>
      </x:c>
      <x:c r="F5" s="1" t="s">
        <x:v>97</x:v>
      </x:c>
      <x:c r="G5" s="1" t="s">
        <x:v>164</x:v>
      </x:c>
      <x:c r="H5" s="1">
        <x:v>46214</x:v>
      </x:c>
      <x:c r="I5" s="1">
        <x:v>46214</x:v>
      </x:c>
      <x:c r="J5" s="1" t="s">
        <x:v>234</x:v>
      </x:c>
      <x:c r="K5" s="13">
        <x:v>0</x:v>
      </x:c>
      <x:c r="L5" s="13">
        <x:v>0</x:v>
      </x:c>
      <x:c r="M5" s="5">
        <x:v>4</x:v>
      </x:c>
      <x:c r="N5" s="5">
        <x:v>13</x:v>
      </x:c>
      <x:c r="O5" s="14">
        <x:v>0.33000000000000002</x:v>
      </x:c>
      <x:c r="P5" s="5" t="s">
        <x:v>34</x:v>
      </x:c>
      <x:c r="Q5" s="5" t="s">
        <x:v>202</x:v>
      </x:c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</x:row>
    <x:row r="6" spans="1:52" s="3" customFormat="1">
      <x:c r="A6" s="1" t="s">
        <x:v>331</x:v>
      </x:c>
      <x:c r="B6" s="11" t="s">
        <x:v>264</x:v>
      </x:c>
      <x:c r="C6" s="11" t="s">
        <x:v>133</x:v>
      </x:c>
      <x:c r="D6" s="5" t="s">
        <x:v>13</x:v>
      </x:c>
      <x:c r="E6" s="5" t="s">
        <x:v>339</x:v>
      </x:c>
      <x:c r="F6" s="1" t="s">
        <x:v>97</x:v>
      </x:c>
      <x:c r="G6" s="1" t="s">
        <x:v>164</x:v>
      </x:c>
      <x:c r="H6" s="1">
        <x:v>46217</x:v>
      </x:c>
      <x:c r="I6" s="1">
        <x:v>46217</x:v>
      </x:c>
      <x:c r="J6" s="1" t="s">
        <x:v>234</x:v>
      </x:c>
      <x:c r="K6" s="13">
        <x:v>0</x:v>
      </x:c>
      <x:c r="L6" s="13">
        <x:v>0</x:v>
      </x:c>
      <x:c r="M6" s="5">
        <x:v>7</x:v>
      </x:c>
      <x:c r="N6" s="5">
        <x:v>200</x:v>
      </x:c>
      <x:c r="O6" s="14">
        <x:v>0.40999999999999998</x:v>
      </x:c>
      <x:c r="P6" s="5" t="s">
        <x:v>13</x:v>
      </x:c>
      <x:c r="Q6" s="5" t="s">
        <x:v>202</x:v>
      </x:c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</x:row>
    <x:row r="7" spans="1:52" s="2" customFormat="1">
      <x:c r="A7" s="1" t="s">
        <x:v>342</x:v>
      </x:c>
      <x:c r="B7" s="1" t="s">
        <x:v>265</x:v>
      </x:c>
      <x:c r="C7" s="11" t="s">
        <x:v>133</x:v>
      </x:c>
      <x:c r="D7" s="5" t="s">
        <x:v>34</x:v>
      </x:c>
      <x:c r="E7" s="5" t="s">
        <x:v>14</x:v>
      </x:c>
      <x:c r="F7" s="1" t="s">
        <x:v>97</x:v>
      </x:c>
      <x:c r="G7" s="1" t="s">
        <x:v>164</x:v>
      </x:c>
      <x:c r="H7" s="1">
        <x:v>46221</x:v>
      </x:c>
      <x:c r="I7" s="1">
        <x:v>46221</x:v>
      </x:c>
      <x:c r="J7" s="1" t="s">
        <x:v>234</x:v>
      </x:c>
      <x:c r="K7" s="13">
        <x:v>0</x:v>
      </x:c>
      <x:c r="L7" s="13">
        <x:v>0</x:v>
      </x:c>
      <x:c r="M7" s="5">
        <x:v>4</x:v>
      </x:c>
      <x:c r="N7" s="5">
        <x:v>13</x:v>
      </x:c>
      <x:c r="O7" s="14">
        <x:v>0.35999999999999999</x:v>
      </x:c>
      <x:c r="P7" s="5" t="s">
        <x:v>34</x:v>
      </x:c>
      <x:c r="Q7" s="5" t="s">
        <x:v>202</x:v>
      </x:c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</x:row>
    <x:row r="8" spans="1:52" s="2" customFormat="1">
      <x:c r="A8" s="1" t="s">
        <x:v>323</x:v>
      </x:c>
      <x:c r="B8" s="1" t="s">
        <x:v>314</x:v>
      </x:c>
      <x:c r="C8" s="11" t="s">
        <x:v>133</x:v>
      </x:c>
      <x:c r="D8" s="5" t="s">
        <x:v>34</x:v>
      </x:c>
      <x:c r="E8" s="5" t="s">
        <x:v>14</x:v>
      </x:c>
      <x:c r="F8" s="1" t="s">
        <x:v>97</x:v>
      </x:c>
      <x:c r="G8" s="1" t="s">
        <x:v>164</x:v>
      </x:c>
      <x:c r="H8" s="1">
        <x:v>46228</x:v>
      </x:c>
      <x:c r="I8" s="1">
        <x:v>46228</x:v>
      </x:c>
      <x:c r="J8" s="1" t="s">
        <x:v>234</x:v>
      </x:c>
      <x:c r="K8" s="13">
        <x:v>0</x:v>
      </x:c>
      <x:c r="L8" s="13">
        <x:v>0</x:v>
      </x:c>
      <x:c r="M8" s="5">
        <x:v>4</x:v>
      </x:c>
      <x:c r="N8" s="5">
        <x:v>13</x:v>
      </x:c>
      <x:c r="O8" s="14">
        <x:v>0.40000000000000002</x:v>
      </x:c>
      <x:c r="P8" s="5" t="s">
        <x:v>34</x:v>
      </x:c>
      <x:c r="Q8" s="5" t="s">
        <x:v>202</x:v>
      </x:c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</x:row>
    <x:row r="9" spans="1:52" s="3" customFormat="1">
      <x:c r="A9" s="1" t="s">
        <x:v>315</x:v>
      </x:c>
      <x:c r="B9" s="11" t="s">
        <x:v>269</x:v>
      </x:c>
      <x:c r="C9" s="11" t="s">
        <x:v>110</x:v>
      </x:c>
      <x:c r="D9" s="5" t="s">
        <x:v>13</x:v>
      </x:c>
      <x:c r="E9" s="5" t="s">
        <x:v>339</x:v>
      </x:c>
      <x:c r="F9" s="1" t="s">
        <x:v>97</x:v>
      </x:c>
      <x:c r="G9" s="1" t="s">
        <x:v>164</x:v>
      </x:c>
      <x:c r="H9" s="1" t="s">
        <x:v>341</x:v>
      </x:c>
      <x:c r="I9" s="1">
        <x:v>46235</x:v>
      </x:c>
      <x:c r="J9" s="1" t="s">
        <x:v>177</x:v>
      </x:c>
      <x:c r="K9" s="13">
        <x:v>0</x:v>
      </x:c>
      <x:c r="L9" s="13">
        <x:v>0</x:v>
      </x:c>
      <x:c r="M9" s="5">
        <x:v>5</x:v>
      </x:c>
      <x:c r="N9" s="5">
        <x:v>200</x:v>
      </x:c>
      <x:c r="O9" s="14">
        <x:v>0.5</x:v>
      </x:c>
      <x:c r="P9" s="1" t="s">
        <x:v>13</x:v>
      </x:c>
      <x:c r="Q9" s="5" t="s">
        <x:v>202</x:v>
      </x:c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</x:row>
    <x:row r="10" spans="1:52" s="2" customFormat="1">
      <x:c r="A10" s="1" t="s">
        <x:v>360</x:v>
      </x:c>
      <x:c r="B10" s="1" t="s">
        <x:v>311</x:v>
      </x:c>
      <x:c r="C10" s="11" t="s">
        <x:v>133</x:v>
      </x:c>
      <x:c r="D10" s="5" t="s">
        <x:v>34</x:v>
      </x:c>
      <x:c r="E10" s="5" t="s">
        <x:v>14</x:v>
      </x:c>
      <x:c r="F10" s="1" t="s">
        <x:v>97</x:v>
      </x:c>
      <x:c r="G10" s="1" t="s">
        <x:v>164</x:v>
      </x:c>
      <x:c r="H10" s="1">
        <x:v>46235</x:v>
      </x:c>
      <x:c r="I10" s="1">
        <x:v>46235</x:v>
      </x:c>
      <x:c r="J10" s="1" t="s">
        <x:v>177</x:v>
      </x:c>
      <x:c r="K10" s="13">
        <x:v>0</x:v>
      </x:c>
      <x:c r="L10" s="13">
        <x:v>0</x:v>
      </x:c>
      <x:c r="M10" s="5">
        <x:v>4</x:v>
      </x:c>
      <x:c r="N10" s="5">
        <x:v>13</x:v>
      </x:c>
      <x:c r="O10" s="14">
        <x:v>0.42999999999999999</x:v>
      </x:c>
      <x:c r="P10" s="5" t="s">
        <x:v>34</x:v>
      </x:c>
      <x:c r="Q10" s="5" t="s">
        <x:v>202</x:v>
      </x:c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</x:row>
    <x:row r="11" spans="1:52" s="3" customFormat="1">
      <x:c r="A11" s="1" t="s">
        <x:v>275</x:v>
      </x:c>
      <x:c r="B11" s="11" t="s">
        <x:v>38</x:v>
      </x:c>
      <x:c r="C11" s="11" t="s">
        <x:v>133</x:v>
      </x:c>
      <x:c r="D11" s="5" t="s">
        <x:v>149</x:v>
      </x:c>
      <x:c r="E11" s="5" t="s">
        <x:v>105</x:v>
      </x:c>
      <x:c r="F11" s="1" t="s">
        <x:v>97</x:v>
      </x:c>
      <x:c r="G11" s="1" t="s">
        <x:v>164</x:v>
      </x:c>
      <x:c r="H11" s="1">
        <x:v>46232</x:v>
      </x:c>
      <x:c r="I11" s="1">
        <x:v>46232</x:v>
      </x:c>
      <x:c r="J11" s="1" t="s">
        <x:v>177</x:v>
      </x:c>
      <x:c r="K11" s="13">
        <x:v>176000</x:v>
      </x:c>
      <x:c r="L11" s="13">
        <x:v>0</x:v>
      </x:c>
      <x:c r="M11" s="5">
        <x:v>2</x:v>
      </x:c>
      <x:c r="N11" s="5">
        <x:v>20</x:v>
      </x:c>
      <x:c r="O11" s="14">
        <x:v>0.31</x:v>
      </x:c>
      <x:c r="P11" s="5" t="s">
        <x:v>143</x:v>
      </x:c>
      <x:c r="Q11" s="1" t="s">
        <x:v>202</x:v>
      </x:c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</x:row>
    <x:row r="12" spans="1:52">
      <x:c r="A12" s="1" t="s">
        <x:v>357</x:v>
      </x:c>
      <x:c r="B12" s="1" t="s">
        <x:v>36</x:v>
      </x:c>
      <x:c r="C12" s="1" t="s">
        <x:v>133</x:v>
      </x:c>
      <x:c r="D12" s="1" t="s">
        <x:v>149</x:v>
      </x:c>
      <x:c r="E12" s="1" t="s">
        <x:v>105</x:v>
      </x:c>
      <x:c r="F12" s="1" t="s">
        <x:v>97</x:v>
      </x:c>
      <x:c r="G12" s="1" t="s">
        <x:v>164</x:v>
      </x:c>
      <x:c r="H12" s="1">
        <x:v>46233</x:v>
      </x:c>
      <x:c r="I12" s="1">
        <x:v>46233</x:v>
      </x:c>
      <x:c r="J12" s="1" t="s">
        <x:v>177</x:v>
      </x:c>
      <x:c r="K12" s="1">
        <x:v>134000</x:v>
      </x:c>
      <x:c r="L12" s="1">
        <x:v>0</x:v>
      </x:c>
      <x:c r="M12" s="1">
        <x:v>2</x:v>
      </x:c>
      <x:c r="N12" s="1">
        <x:v>20</x:v>
      </x:c>
      <x:c r="O12" s="14">
        <x:v>0.34000000000000002</x:v>
      </x:c>
      <x:c r="P12" s="1" t="s">
        <x:v>143</x:v>
      </x:c>
      <x:c r="Q12" s="5" t="s">
        <x:v>202</x:v>
      </x:c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</x:row>
    <x:row r="13" spans="1:52" s="2" customFormat="1">
      <x:c r="A13" s="1" t="s">
        <x:v>300</x:v>
      </x:c>
      <x:c r="B13" s="1" t="s">
        <x:v>7</x:v>
      </x:c>
      <x:c r="C13" s="1" t="s">
        <x:v>133</x:v>
      </x:c>
      <x:c r="D13" s="1" t="s">
        <x:v>149</x:v>
      </x:c>
      <x:c r="E13" s="1" t="s">
        <x:v>105</x:v>
      </x:c>
      <x:c r="F13" s="1" t="s">
        <x:v>97</x:v>
      </x:c>
      <x:c r="G13" s="1" t="s">
        <x:v>164</x:v>
      </x:c>
      <x:c r="H13" s="1">
        <x:v>46239</x:v>
      </x:c>
      <x:c r="I13" s="1">
        <x:v>46239</x:v>
      </x:c>
      <x:c r="J13" s="1" t="s">
        <x:v>177</x:v>
      </x:c>
      <x:c r="K13" s="1">
        <x:v>76000</x:v>
      </x:c>
      <x:c r="L13" s="1">
        <x:v>0</x:v>
      </x:c>
      <x:c r="M13" s="1">
        <x:v>2</x:v>
      </x:c>
      <x:c r="N13" s="1">
        <x:v>20</x:v>
      </x:c>
      <x:c r="O13" s="14">
        <x:v>0.35999999999999999</x:v>
      </x:c>
      <x:c r="P13" s="1" t="s">
        <x:v>143</x:v>
      </x:c>
      <x:c r="Q13" s="5" t="s">
        <x:v>202</x:v>
      </x:c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</x:row>
    <x:row r="14" spans="1:52" s="2" customFormat="1">
      <x:c r="A14" s="1" t="s">
        <x:v>368</x:v>
      </x:c>
      <x:c r="B14" s="1" t="s">
        <x:v>32</x:v>
      </x:c>
      <x:c r="C14" s="1" t="s">
        <x:v>133</x:v>
      </x:c>
      <x:c r="D14" s="1" t="s">
        <x:v>149</x:v>
      </x:c>
      <x:c r="E14" s="1" t="s">
        <x:v>105</x:v>
      </x:c>
      <x:c r="F14" s="1" t="s">
        <x:v>97</x:v>
      </x:c>
      <x:c r="G14" s="1" t="s">
        <x:v>164</x:v>
      </x:c>
      <x:c r="H14" s="1">
        <x:v>46240</x:v>
      </x:c>
      <x:c r="I14" s="1">
        <x:v>46240</x:v>
      </x:c>
      <x:c r="J14" s="1" t="s">
        <x:v>177</x:v>
      </x:c>
      <x:c r="K14" s="1">
        <x:v>88000</x:v>
      </x:c>
      <x:c r="L14" s="1">
        <x:v>0</x:v>
      </x:c>
      <x:c r="M14" s="1">
        <x:v>2</x:v>
      </x:c>
      <x:c r="N14" s="1">
        <x:v>20</x:v>
      </x:c>
      <x:c r="O14" s="14">
        <x:v>0.38</x:v>
      </x:c>
      <x:c r="P14" s="1" t="s">
        <x:v>143</x:v>
      </x:c>
      <x:c r="Q14" s="5" t="s">
        <x:v>202</x:v>
      </x:c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</x:row>
    <x:row r="15" spans="1:52" s="2" customFormat="1">
      <x:c r="A15" s="1" t="s">
        <x:v>291</x:v>
      </x:c>
      <x:c r="B15" s="1" t="s">
        <x:v>263</x:v>
      </x:c>
      <x:c r="C15" s="11" t="s">
        <x:v>133</x:v>
      </x:c>
      <x:c r="D15" s="5" t="s">
        <x:v>34</x:v>
      </x:c>
      <x:c r="E15" s="5" t="s">
        <x:v>14</x:v>
      </x:c>
      <x:c r="F15" s="1" t="s">
        <x:v>97</x:v>
      </x:c>
      <x:c r="G15" s="1" t="s">
        <x:v>164</x:v>
      </x:c>
      <x:c r="H15" s="1">
        <x:v>46242</x:v>
      </x:c>
      <x:c r="I15" s="1">
        <x:v>46242</x:v>
      </x:c>
      <x:c r="J15" s="1" t="s">
        <x:v>177</x:v>
      </x:c>
      <x:c r="K15" s="13">
        <x:v>0</x:v>
      </x:c>
      <x:c r="L15" s="13">
        <x:v>0</x:v>
      </x:c>
      <x:c r="M15" s="5">
        <x:v>4</x:v>
      </x:c>
      <x:c r="N15" s="5">
        <x:v>13</x:v>
      </x:c>
      <x:c r="O15" s="14">
        <x:v>0.46000000000000002</x:v>
      </x:c>
      <x:c r="P15" s="5" t="s">
        <x:v>34</x:v>
      </x:c>
      <x:c r="Q15" s="5" t="s">
        <x:v>202</x:v>
      </x:c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</x:row>
    <x:row r="16" spans="1:52" s="2" customFormat="1">
      <x:c r="A16" s="1" t="s">
        <x:v>280</x:v>
      </x:c>
      <x:c r="B16" s="11" t="s">
        <x:v>278</x:v>
      </x:c>
      <x:c r="C16" s="11" t="s">
        <x:v>133</x:v>
      </x:c>
      <x:c r="D16" s="5" t="s">
        <x:v>13</x:v>
      </x:c>
      <x:c r="E16" s="5" t="s">
        <x:v>339</x:v>
      </x:c>
      <x:c r="F16" s="1" t="s">
        <x:v>97</x:v>
      </x:c>
      <x:c r="G16" s="1" t="s">
        <x:v>164</x:v>
      </x:c>
      <x:c r="H16" s="1">
        <x:v>46245</x:v>
      </x:c>
      <x:c r="I16" s="1">
        <x:v>46245</x:v>
      </x:c>
      <x:c r="J16" s="1" t="s">
        <x:v>177</x:v>
      </x:c>
      <x:c r="K16" s="13">
        <x:v>0</x:v>
      </x:c>
      <x:c r="L16" s="13">
        <x:v>0</x:v>
      </x:c>
      <x:c r="M16" s="5">
        <x:v>7</x:v>
      </x:c>
      <x:c r="N16" s="5">
        <x:v>200</x:v>
      </x:c>
      <x:c r="O16" s="14">
        <x:v>0.57999999999999996</x:v>
      </x:c>
      <x:c r="P16" s="1" t="s">
        <x:v>13</x:v>
      </x:c>
      <x:c r="Q16" s="5" t="s">
        <x:v>202</x:v>
      </x:c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</x:row>
    <x:row r="17" spans="1:52" s="2" customFormat="1">
      <x:c r="A17" s="1" t="s">
        <x:v>282</x:v>
      </x:c>
      <x:c r="B17" s="1" t="s">
        <x:v>11</x:v>
      </x:c>
      <x:c r="C17" s="1" t="s">
        <x:v>133</x:v>
      </x:c>
      <x:c r="D17" s="1" t="s">
        <x:v>149</x:v>
      </x:c>
      <x:c r="E17" s="1" t="s">
        <x:v>105</x:v>
      </x:c>
      <x:c r="F17" s="1" t="s">
        <x:v>97</x:v>
      </x:c>
      <x:c r="G17" s="1" t="s">
        <x:v>164</x:v>
      </x:c>
      <x:c r="H17" s="1">
        <x:v>46246</x:v>
      </x:c>
      <x:c r="I17" s="1">
        <x:v>46246</x:v>
      </x:c>
      <x:c r="J17" s="1" t="s">
        <x:v>177</x:v>
      </x:c>
      <x:c r="K17" s="1">
        <x:v>132000</x:v>
      </x:c>
      <x:c r="L17" s="1">
        <x:v>0</x:v>
      </x:c>
      <x:c r="M17" s="1">
        <x:v>2</x:v>
      </x:c>
      <x:c r="N17" s="1">
        <x:v>20</x:v>
      </x:c>
      <x:c r="O17" s="14">
        <x:v>0.40999999999999998</x:v>
      </x:c>
      <x:c r="P17" s="1" t="s">
        <x:v>143</x:v>
      </x:c>
      <x:c r="Q17" s="5" t="s">
        <x:v>202</x:v>
      </x:c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</x:row>
    <x:row r="18" spans="1:52" s="2" customFormat="1">
      <x:c r="A18" s="1" t="s">
        <x:v>283</x:v>
      </x:c>
      <x:c r="B18" s="1" t="s">
        <x:v>17</x:v>
      </x:c>
      <x:c r="C18" s="1" t="s">
        <x:v>133</x:v>
      </x:c>
      <x:c r="D18" s="1" t="s">
        <x:v>149</x:v>
      </x:c>
      <x:c r="E18" s="1" t="s">
        <x:v>105</x:v>
      </x:c>
      <x:c r="F18" s="1" t="s">
        <x:v>97</x:v>
      </x:c>
      <x:c r="G18" s="1" t="s">
        <x:v>164</x:v>
      </x:c>
      <x:c r="H18" s="1">
        <x:v>46247</x:v>
      </x:c>
      <x:c r="I18" s="1">
        <x:v>46247</x:v>
      </x:c>
      <x:c r="J18" s="1" t="s">
        <x:v>177</x:v>
      </x:c>
      <x:c r="K18" s="1">
        <x:v>104000</x:v>
      </x:c>
      <x:c r="L18" s="1">
        <x:v>0</x:v>
      </x:c>
      <x:c r="M18" s="1">
        <x:v>2</x:v>
      </x:c>
      <x:c r="N18" s="1">
        <x:v>20</x:v>
      </x:c>
      <x:c r="O18" s="14">
        <x:v>0.42999999999999999</x:v>
      </x:c>
      <x:c r="P18" s="1" t="s">
        <x:v>143</x:v>
      </x:c>
      <x:c r="Q18" s="5" t="s">
        <x:v>202</x:v>
      </x:c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</x:row>
    <x:row r="19" spans="1:52" s="2" customFormat="1">
      <x:c r="A19" s="1" t="s">
        <x:v>358</x:v>
      </x:c>
      <x:c r="B19" s="11" t="s">
        <x:v>312</x:v>
      </x:c>
      <x:c r="C19" s="11" t="s">
        <x:v>133</x:v>
      </x:c>
      <x:c r="D19" s="5" t="s">
        <x:v>34</x:v>
      </x:c>
      <x:c r="E19" s="5" t="s">
        <x:v>14</x:v>
      </x:c>
      <x:c r="F19" s="1" t="s">
        <x:v>97</x:v>
      </x:c>
      <x:c r="G19" s="1" t="s">
        <x:v>164</x:v>
      </x:c>
      <x:c r="H19" s="1">
        <x:v>46249</x:v>
      </x:c>
      <x:c r="I19" s="1">
        <x:v>46249</x:v>
      </x:c>
      <x:c r="J19" s="1" t="s">
        <x:v>177</x:v>
      </x:c>
      <x:c r="K19" s="13">
        <x:v>0</x:v>
      </x:c>
      <x:c r="L19" s="13">
        <x:v>0</x:v>
      </x:c>
      <x:c r="M19" s="5">
        <x:v>4</x:v>
      </x:c>
      <x:c r="N19" s="5">
        <x:v>13</x:v>
      </x:c>
      <x:c r="O19" s="14">
        <x:v>0.5</x:v>
      </x:c>
      <x:c r="P19" s="5" t="s">
        <x:v>34</x:v>
      </x:c>
      <x:c r="Q19" s="5" t="s">
        <x:v>202</x:v>
      </x:c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</x:row>
    <x:row r="20" spans="1:52" s="2" customFormat="1">
      <x:c r="A20" s="1" t="s">
        <x:v>279</x:v>
      </x:c>
      <x:c r="B20" s="1" t="s">
        <x:v>39</x:v>
      </x:c>
      <x:c r="C20" s="1" t="s">
        <x:v>133</x:v>
      </x:c>
      <x:c r="D20" s="1" t="s">
        <x:v>149</x:v>
      </x:c>
      <x:c r="E20" s="1" t="s">
        <x:v>105</x:v>
      </x:c>
      <x:c r="F20" s="1" t="s">
        <x:v>97</x:v>
      </x:c>
      <x:c r="G20" s="1" t="s">
        <x:v>164</x:v>
      </x:c>
      <x:c r="H20" s="1">
        <x:v>46253</x:v>
      </x:c>
      <x:c r="I20" s="1">
        <x:v>46253</x:v>
      </x:c>
      <x:c r="J20" s="1" t="s">
        <x:v>177</x:v>
      </x:c>
      <x:c r="K20" s="1">
        <x:v>76000</x:v>
      </x:c>
      <x:c r="L20" s="1">
        <x:v>0</x:v>
      </x:c>
      <x:c r="M20" s="1">
        <x:v>2</x:v>
      </x:c>
      <x:c r="N20" s="1">
        <x:v>20</x:v>
      </x:c>
      <x:c r="O20" s="14">
        <x:v>0.45000000000000001</x:v>
      </x:c>
      <x:c r="P20" s="1" t="s">
        <x:v>143</x:v>
      </x:c>
      <x:c r="Q20" s="5" t="s">
        <x:v>202</x:v>
      </x:c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</x:row>
    <x:row r="21" spans="1:52" s="2" customFormat="1">
      <x:c r="A21" s="1" t="s">
        <x:v>276</x:v>
      </x:c>
      <x:c r="B21" s="1" t="s">
        <x:v>21</x:v>
      </x:c>
      <x:c r="C21" s="1" t="s">
        <x:v>133</x:v>
      </x:c>
      <x:c r="D21" s="1" t="s">
        <x:v>149</x:v>
      </x:c>
      <x:c r="E21" s="1" t="s">
        <x:v>105</x:v>
      </x:c>
      <x:c r="F21" s="1" t="s">
        <x:v>97</x:v>
      </x:c>
      <x:c r="G21" s="1" t="s">
        <x:v>164</x:v>
      </x:c>
      <x:c r="H21" s="1">
        <x:v>46254</x:v>
      </x:c>
      <x:c r="I21" s="1">
        <x:v>46254</x:v>
      </x:c>
      <x:c r="J21" s="1" t="s">
        <x:v>177</x:v>
      </x:c>
      <x:c r="K21" s="1">
        <x:v>104000</x:v>
      </x:c>
      <x:c r="L21" s="1">
        <x:v>0</x:v>
      </x:c>
      <x:c r="M21" s="1">
        <x:v>2</x:v>
      </x:c>
      <x:c r="N21" s="1">
        <x:v>20</x:v>
      </x:c>
      <x:c r="O21" s="14">
        <x:v>0.46999999999999997</x:v>
      </x:c>
      <x:c r="P21" s="1" t="s">
        <x:v>143</x:v>
      </x:c>
      <x:c r="Q21" s="5" t="s">
        <x:v>202</x:v>
      </x:c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</x:row>
    <x:row r="22" spans="1:52" s="2" customFormat="1">
      <x:c r="A22" s="1" t="s">
        <x:v>286</x:v>
      </x:c>
      <x:c r="B22" s="1" t="s">
        <x:v>138</x:v>
      </x:c>
      <x:c r="C22" s="1" t="s">
        <x:v>133</x:v>
      </x:c>
      <x:c r="D22" s="1" t="s">
        <x:v>20</x:v>
      </x:c>
      <x:c r="E22" s="1" t="s">
        <x:v>308</x:v>
      </x:c>
      <x:c r="F22" s="1" t="s">
        <x:v>119</x:v>
      </x:c>
      <x:c r="G22" s="1" t="s">
        <x:v>159</x:v>
      </x:c>
      <x:c r="H22" s="1">
        <x:v>46256</x:v>
      </x:c>
      <x:c r="I22" s="1">
        <x:v>46256</x:v>
      </x:c>
      <x:c r="J22" s="1" t="s">
        <x:v>177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4">
        <x:v>1</x:v>
      </x:c>
      <x:c r="P22" s="5" t="s">
        <x:v>145</x:v>
      </x:c>
      <x:c r="Q22" s="5" t="s">
        <x:v>202</x:v>
      </x:c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</x:row>
    <x:row r="23" spans="1:52" s="2" customFormat="1">
      <x:c r="A23" s="1" t="s">
        <x:v>292</x:v>
      </x:c>
      <x:c r="B23" s="11" t="s">
        <x:v>317</x:v>
      </x:c>
      <x:c r="C23" s="11" t="s">
        <x:v>133</x:v>
      </x:c>
      <x:c r="D23" s="5" t="s">
        <x:v>34</x:v>
      </x:c>
      <x:c r="E23" s="5" t="s">
        <x:v>14</x:v>
      </x:c>
      <x:c r="F23" s="1" t="s">
        <x:v>97</x:v>
      </x:c>
      <x:c r="G23" s="1" t="s">
        <x:v>164</x:v>
      </x:c>
      <x:c r="H23" s="1">
        <x:v>46256</x:v>
      </x:c>
      <x:c r="I23" s="1">
        <x:v>46256</x:v>
      </x:c>
      <x:c r="J23" s="1" t="s">
        <x:v>177</x:v>
      </x:c>
      <x:c r="K23" s="13">
        <x:v>0</x:v>
      </x:c>
      <x:c r="L23" s="13">
        <x:v>0</x:v>
      </x:c>
      <x:c r="M23" s="5">
        <x:v>4</x:v>
      </x:c>
      <x:c r="N23" s="5">
        <x:v>13</x:v>
      </x:c>
      <x:c r="O23" s="14">
        <x:v>0.53000000000000003</x:v>
      </x:c>
      <x:c r="P23" s="5" t="s">
        <x:v>34</x:v>
      </x:c>
      <x:c r="Q23" s="5" t="s">
        <x:v>202</x:v>
      </x:c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</x:row>
    <x:row r="24" spans="1:52" s="2" customFormat="1">
      <x:c r="A24" s="1" t="s">
        <x:v>287</x:v>
      </x:c>
      <x:c r="B24" s="1" t="s">
        <x:v>8</x:v>
      </x:c>
      <x:c r="C24" s="1" t="s">
        <x:v>133</x:v>
      </x:c>
      <x:c r="D24" s="1" t="s">
        <x:v>149</x:v>
      </x:c>
      <x:c r="E24" s="1" t="s">
        <x:v>105</x:v>
      </x:c>
      <x:c r="F24" s="1" t="s">
        <x:v>97</x:v>
      </x:c>
      <x:c r="G24" s="1" t="s">
        <x:v>164</x:v>
      </x:c>
      <x:c r="H24" s="1">
        <x:v>46260</x:v>
      </x:c>
      <x:c r="I24" s="1">
        <x:v>46260</x:v>
      </x:c>
      <x:c r="J24" s="1" t="s">
        <x:v>177</x:v>
      </x:c>
      <x:c r="K24" s="1">
        <x:v>134000</x:v>
      </x:c>
      <x:c r="L24" s="1">
        <x:v>0</x:v>
      </x:c>
      <x:c r="M24" s="1">
        <x:v>2</x:v>
      </x:c>
      <x:c r="N24" s="1">
        <x:v>20</x:v>
      </x:c>
      <x:c r="O24" s="14">
        <x:v>0.5</x:v>
      </x:c>
      <x:c r="P24" s="1" t="s">
        <x:v>143</x:v>
      </x:c>
      <x:c r="Q24" s="5" t="s">
        <x:v>202</x:v>
      </x:c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</x:row>
    <x:row r="25" spans="1:52" s="2" customFormat="1">
      <x:c r="A25" s="1" t="s">
        <x:v>303</x:v>
      </x:c>
      <x:c r="B25" s="1" t="s">
        <x:v>3</x:v>
      </x:c>
      <x:c r="C25" s="1" t="s">
        <x:v>133</x:v>
      </x:c>
      <x:c r="D25" s="1" t="s">
        <x:v>149</x:v>
      </x:c>
      <x:c r="E25" s="1" t="s">
        <x:v>105</x:v>
      </x:c>
      <x:c r="F25" s="1" t="s">
        <x:v>97</x:v>
      </x:c>
      <x:c r="G25" s="1" t="s">
        <x:v>164</x:v>
      </x:c>
      <x:c r="H25" s="1">
        <x:v>46261</x:v>
      </x:c>
      <x:c r="I25" s="1">
        <x:v>46261</x:v>
      </x:c>
      <x:c r="J25" s="1" t="s">
        <x:v>177</x:v>
      </x:c>
      <x:c r="K25" s="1">
        <x:v>76000</x:v>
      </x:c>
      <x:c r="L25" s="1">
        <x:v>0</x:v>
      </x:c>
      <x:c r="M25" s="1">
        <x:v>2</x:v>
      </x:c>
      <x:c r="N25" s="1">
        <x:v>20</x:v>
      </x:c>
      <x:c r="O25" s="14">
        <x:v>0.52000000000000002</x:v>
      </x:c>
      <x:c r="P25" s="1" t="s">
        <x:v>143</x:v>
      </x:c>
      <x:c r="Q25" s="5" t="s">
        <x:v>202</x:v>
      </x:c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</x:row>
    <x:row r="26" spans="1:52" s="2" customFormat="1">
      <x:c r="A26" s="1" t="s">
        <x:v>289</x:v>
      </x:c>
      <x:c r="B26" s="1" t="s">
        <x:v>294</x:v>
      </x:c>
      <x:c r="C26" s="1" t="s">
        <x:v>133</x:v>
      </x:c>
      <x:c r="D26" s="5" t="s">
        <x:v>13</x:v>
      </x:c>
      <x:c r="E26" s="5" t="s">
        <x:v>339</x:v>
      </x:c>
      <x:c r="F26" s="1" t="s">
        <x:v>97</x:v>
      </x:c>
      <x:c r="G26" s="1" t="s">
        <x:v>164</x:v>
      </x:c>
      <x:c r="H26" s="1">
        <x:v>46263</x:v>
      </x:c>
      <x:c r="I26" s="1">
        <x:v>46263</x:v>
      </x:c>
      <x:c r="J26" s="1" t="s">
        <x:v>177</x:v>
      </x:c>
      <x:c r="K26" s="13">
        <x:v>0</x:v>
      </x:c>
      <x:c r="L26" s="13">
        <x:v>0</x:v>
      </x:c>
      <x:c r="M26" s="5">
        <x:v>5</x:v>
      </x:c>
      <x:c r="N26" s="5">
        <x:v>200</x:v>
      </x:c>
      <x:c r="O26" s="14">
        <x:v>0.66000000000000003</x:v>
      </x:c>
      <x:c r="P26" s="1" t="s">
        <x:v>13</x:v>
      </x:c>
      <x:c r="Q26" s="5" t="s">
        <x:v>202</x:v>
      </x:c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</x:row>
    <x:row r="27" spans="1:52" s="2" customFormat="1">
      <x:c r="A27" s="1" t="s">
        <x:v>320</x:v>
      </x:c>
      <x:c r="B27" s="11" t="s">
        <x:v>354</x:v>
      </x:c>
      <x:c r="C27" s="11" t="s">
        <x:v>133</x:v>
      </x:c>
      <x:c r="D27" s="5" t="s">
        <x:v>34</x:v>
      </x:c>
      <x:c r="E27" s="5" t="s">
        <x:v>14</x:v>
      </x:c>
      <x:c r="F27" s="1" t="s">
        <x:v>97</x:v>
      </x:c>
      <x:c r="G27" s="1" t="s">
        <x:v>164</x:v>
      </x:c>
      <x:c r="H27" s="1">
        <x:v>46263</x:v>
      </x:c>
      <x:c r="I27" s="1">
        <x:v>46263</x:v>
      </x:c>
      <x:c r="J27" s="1" t="s">
        <x:v>177</x:v>
      </x:c>
      <x:c r="K27" s="13">
        <x:v>0</x:v>
      </x:c>
      <x:c r="L27" s="13">
        <x:v>0</x:v>
      </x:c>
      <x:c r="M27" s="5">
        <x:v>4</x:v>
      </x:c>
      <x:c r="N27" s="5">
        <x:v>13</x:v>
      </x:c>
      <x:c r="O27" s="14">
        <x:v>0.56000000000000005</x:v>
      </x:c>
      <x:c r="P27" s="5" t="s">
        <x:v>34</x:v>
      </x:c>
      <x:c r="Q27" s="5" t="s">
        <x:v>202</x:v>
      </x:c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</x:row>
    <x:row r="28" spans="1:52" s="2" customFormat="1">
      <x:c r="A28" s="1" t="s">
        <x:v>321</x:v>
      </x:c>
      <x:c r="B28" s="1" t="s">
        <x:v>12</x:v>
      </x:c>
      <x:c r="C28" s="1" t="s">
        <x:v>133</x:v>
      </x:c>
      <x:c r="D28" s="1" t="s">
        <x:v>149</x:v>
      </x:c>
      <x:c r="E28" s="1" t="s">
        <x:v>105</x:v>
      </x:c>
      <x:c r="F28" s="1" t="s">
        <x:v>97</x:v>
      </x:c>
      <x:c r="G28" s="1" t="s">
        <x:v>164</x:v>
      </x:c>
      <x:c r="H28" s="1">
        <x:v>46267</x:v>
      </x:c>
      <x:c r="I28" s="1">
        <x:v>46267</x:v>
      </x:c>
      <x:c r="J28" s="1" t="s">
        <x:v>177</x:v>
      </x:c>
      <x:c r="K28" s="1">
        <x:v>176000</x:v>
      </x:c>
      <x:c r="L28" s="1">
        <x:v>0</x:v>
      </x:c>
      <x:c r="M28" s="1">
        <x:v>2</x:v>
      </x:c>
      <x:c r="N28" s="1">
        <x:v>20</x:v>
      </x:c>
      <x:c r="O28" s="14">
        <x:v>0.54000000000000004</x:v>
      </x:c>
      <x:c r="P28" s="1" t="s">
        <x:v>143</x:v>
      </x:c>
      <x:c r="Q28" s="5" t="s">
        <x:v>202</x:v>
      </x:c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</x:row>
    <x:row r="29" spans="1:52" s="2" customFormat="1">
      <x:c r="A29" s="1" t="s">
        <x:v>319</x:v>
      </x:c>
      <x:c r="B29" s="1" t="s">
        <x:v>19</x:v>
      </x:c>
      <x:c r="C29" s="1" t="s">
        <x:v>133</x:v>
      </x:c>
      <x:c r="D29" s="1" t="s">
        <x:v>149</x:v>
      </x:c>
      <x:c r="E29" s="1" t="s">
        <x:v>105</x:v>
      </x:c>
      <x:c r="F29" s="1" t="s">
        <x:v>97</x:v>
      </x:c>
      <x:c r="G29" s="1" t="s">
        <x:v>164</x:v>
      </x:c>
      <x:c r="H29" s="1">
        <x:v>46268</x:v>
      </x:c>
      <x:c r="I29" s="1">
        <x:v>46268</x:v>
      </x:c>
      <x:c r="J29" s="1" t="s">
        <x:v>177</x:v>
      </x:c>
      <x:c r="K29" s="1">
        <x:v>176000</x:v>
      </x:c>
      <x:c r="L29" s="1">
        <x:v>0</x:v>
      </x:c>
      <x:c r="M29" s="1">
        <x:v>2</x:v>
      </x:c>
      <x:c r="N29" s="1">
        <x:v>20</x:v>
      </x:c>
      <x:c r="O29" s="14">
        <x:v>0.56000000000000005</x:v>
      </x:c>
      <x:c r="P29" s="1" t="s">
        <x:v>143</x:v>
      </x:c>
      <x:c r="Q29" s="5" t="s">
        <x:v>202</x:v>
      </x:c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</x:row>
    <x:row r="30" spans="1:52" s="2" customFormat="1">
      <x:c r="A30" s="1" t="s">
        <x:v>295</x:v>
      </x:c>
      <x:c r="B30" s="11" t="s">
        <x:v>266</x:v>
      </x:c>
      <x:c r="C30" s="11" t="s">
        <x:v>133</x:v>
      </x:c>
      <x:c r="D30" s="5" t="s">
        <x:v>34</x:v>
      </x:c>
      <x:c r="E30" s="5" t="s">
        <x:v>14</x:v>
      </x:c>
      <x:c r="F30" s="1" t="s">
        <x:v>97</x:v>
      </x:c>
      <x:c r="G30" s="1" t="s">
        <x:v>164</x:v>
      </x:c>
      <x:c r="H30" s="1">
        <x:v>46270</x:v>
      </x:c>
      <x:c r="I30" s="1">
        <x:v>46270</x:v>
      </x:c>
      <x:c r="J30" s="1" t="s">
        <x:v>177</x:v>
      </x:c>
      <x:c r="K30" s="13">
        <x:v>0</x:v>
      </x:c>
      <x:c r="L30" s="13">
        <x:v>0</x:v>
      </x:c>
      <x:c r="M30" s="5">
        <x:v>4</x:v>
      </x:c>
      <x:c r="N30" s="5">
        <x:v>13</x:v>
      </x:c>
      <x:c r="O30" s="14">
        <x:v>0.59999999999999998</x:v>
      </x:c>
      <x:c r="P30" s="5" t="s">
        <x:v>34</x:v>
      </x:c>
      <x:c r="Q30" s="5" t="s">
        <x:v>202</x:v>
      </x:c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</x:row>
    <x:row r="31" spans="1:52" s="2" customFormat="1">
      <x:c r="A31" s="1" t="s">
        <x:v>322</x:v>
      </x:c>
      <x:c r="B31" s="11" t="s">
        <x:v>304</x:v>
      </x:c>
      <x:c r="C31" s="11" t="s">
        <x:v>133</x:v>
      </x:c>
      <x:c r="D31" s="5" t="s">
        <x:v>13</x:v>
      </x:c>
      <x:c r="E31" s="5" t="s">
        <x:v>339</x:v>
      </x:c>
      <x:c r="F31" s="1" t="s">
        <x:v>97</x:v>
      </x:c>
      <x:c r="G31" s="1" t="s">
        <x:v>164</x:v>
      </x:c>
      <x:c r="H31" s="1">
        <x:v>46273</x:v>
      </x:c>
      <x:c r="I31" s="1">
        <x:v>46273</x:v>
      </x:c>
      <x:c r="J31" s="1" t="s">
        <x:v>177</x:v>
      </x:c>
      <x:c r="K31" s="13">
        <x:v>0</x:v>
      </x:c>
      <x:c r="L31" s="13">
        <x:v>0</x:v>
      </x:c>
      <x:c r="M31" s="5">
        <x:v>7</x:v>
      </x:c>
      <x:c r="N31" s="5">
        <x:v>200</x:v>
      </x:c>
      <x:c r="O31" s="14">
        <x:v>0.75</x:v>
      </x:c>
      <x:c r="P31" s="1" t="s">
        <x:v>13</x:v>
      </x:c>
      <x:c r="Q31" s="5" t="s">
        <x:v>202</x:v>
      </x:c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</x:row>
    <x:row r="32" spans="1:52" s="2" customFormat="1">
      <x:c r="A32" s="1" t="s">
        <x:v>299</x:v>
      </x:c>
      <x:c r="B32" s="1" t="s">
        <x:v>23</x:v>
      </x:c>
      <x:c r="C32" s="1" t="s">
        <x:v>133</x:v>
      </x:c>
      <x:c r="D32" s="1" t="s">
        <x:v>149</x:v>
      </x:c>
      <x:c r="E32" s="1" t="s">
        <x:v>105</x:v>
      </x:c>
      <x:c r="F32" s="1" t="s">
        <x:v>97</x:v>
      </x:c>
      <x:c r="G32" s="1" t="s">
        <x:v>164</x:v>
      </x:c>
      <x:c r="H32" s="1">
        <x:v>46274</x:v>
      </x:c>
      <x:c r="I32" s="1">
        <x:v>46274</x:v>
      </x:c>
      <x:c r="J32" s="1" t="s">
        <x:v>177</x:v>
      </x:c>
      <x:c r="K32" s="1">
        <x:v>88000</x:v>
      </x:c>
      <x:c r="L32" s="1">
        <x:v>0</x:v>
      </x:c>
      <x:c r="M32" s="1">
        <x:v>2</x:v>
      </x:c>
      <x:c r="N32" s="1">
        <x:v>20</x:v>
      </x:c>
      <x:c r="O32" s="14">
        <x:v>0.58999999999999997</x:v>
      </x:c>
      <x:c r="P32" s="1" t="s">
        <x:v>143</x:v>
      </x:c>
      <x:c r="Q32" s="5" t="s">
        <x:v>202</x:v>
      </x:c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</x:row>
    <x:row r="33" spans="1:52" s="2" customFormat="1">
      <x:c r="A33" s="1" t="s">
        <x:v>310</x:v>
      </x:c>
      <x:c r="B33" s="1" t="s">
        <x:v>9</x:v>
      </x:c>
      <x:c r="C33" s="1" t="s">
        <x:v>133</x:v>
      </x:c>
      <x:c r="D33" s="1" t="s">
        <x:v>149</x:v>
      </x:c>
      <x:c r="E33" s="1" t="s">
        <x:v>105</x:v>
      </x:c>
      <x:c r="F33" s="1" t="s">
        <x:v>97</x:v>
      </x:c>
      <x:c r="G33" s="1" t="s">
        <x:v>164</x:v>
      </x:c>
      <x:c r="H33" s="1">
        <x:v>46275</x:v>
      </x:c>
      <x:c r="I33" s="1">
        <x:v>46275</x:v>
      </x:c>
      <x:c r="J33" s="1" t="s">
        <x:v>177</x:v>
      </x:c>
      <x:c r="K33" s="1">
        <x:v>80000</x:v>
      </x:c>
      <x:c r="L33" s="1">
        <x:v>0</x:v>
      </x:c>
      <x:c r="M33" s="1">
        <x:v>2</x:v>
      </x:c>
      <x:c r="N33" s="1">
        <x:v>20</x:v>
      </x:c>
      <x:c r="O33" s="14">
        <x:v>0.60999999999999999</x:v>
      </x:c>
      <x:c r="P33" s="1" t="s">
        <x:v>143</x:v>
      </x:c>
      <x:c r="Q33" s="5" t="s">
        <x:v>202</x:v>
      </x:c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</x:row>
    <x:row r="34" spans="1:52" s="2" customFormat="1">
      <x:c r="A34" s="1" t="s">
        <x:v>297</x:v>
      </x:c>
      <x:c r="B34" s="11" t="s">
        <x:v>262</x:v>
      </x:c>
      <x:c r="C34" s="11" t="s">
        <x:v>133</x:v>
      </x:c>
      <x:c r="D34" s="5" t="s">
        <x:v>34</x:v>
      </x:c>
      <x:c r="E34" s="5" t="s">
        <x:v>14</x:v>
      </x:c>
      <x:c r="F34" s="1" t="s">
        <x:v>97</x:v>
      </x:c>
      <x:c r="G34" s="1" t="s">
        <x:v>164</x:v>
      </x:c>
      <x:c r="H34" s="1">
        <x:v>46277</x:v>
      </x:c>
      <x:c r="I34" s="1">
        <x:v>46277</x:v>
      </x:c>
      <x:c r="J34" s="1" t="s">
        <x:v>177</x:v>
      </x:c>
      <x:c r="K34" s="13">
        <x:v>0</x:v>
      </x:c>
      <x:c r="L34" s="13">
        <x:v>0</x:v>
      </x:c>
      <x:c r="M34" s="5">
        <x:v>4</x:v>
      </x:c>
      <x:c r="N34" s="5">
        <x:v>13</x:v>
      </x:c>
      <x:c r="O34" s="14">
        <x:v>0.63</x:v>
      </x:c>
      <x:c r="P34" s="5" t="s">
        <x:v>34</x:v>
      </x:c>
      <x:c r="Q34" s="5" t="s">
        <x:v>202</x:v>
      </x:c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</x:row>
    <x:row r="35" spans="1:52" s="2" customFormat="1">
      <x:c r="A35" s="1" t="s">
        <x:v>316</x:v>
      </x:c>
      <x:c r="B35" s="1" t="s">
        <x:v>22</x:v>
      </x:c>
      <x:c r="C35" s="1" t="s">
        <x:v>133</x:v>
      </x:c>
      <x:c r="D35" s="1" t="s">
        <x:v>149</x:v>
      </x:c>
      <x:c r="E35" s="1" t="s">
        <x:v>105</x:v>
      </x:c>
      <x:c r="F35" s="1" t="s">
        <x:v>97</x:v>
      </x:c>
      <x:c r="G35" s="1" t="s">
        <x:v>164</x:v>
      </x:c>
      <x:c r="H35" s="1">
        <x:v>46281</x:v>
      </x:c>
      <x:c r="I35" s="1">
        <x:v>46281</x:v>
      </x:c>
      <x:c r="J35" s="1" t="s">
        <x:v>177</x:v>
      </x:c>
      <x:c r="K35" s="1">
        <x:v>76000</x:v>
      </x:c>
      <x:c r="L35" s="1">
        <x:v>0</x:v>
      </x:c>
      <x:c r="M35" s="1">
        <x:v>2</x:v>
      </x:c>
      <x:c r="N35" s="1">
        <x:v>20</x:v>
      </x:c>
      <x:c r="O35" s="14">
        <x:v>0.63</x:v>
      </x:c>
      <x:c r="P35" s="1" t="s">
        <x:v>143</x:v>
      </x:c>
      <x:c r="Q35" s="5" t="s">
        <x:v>202</x:v>
      </x:c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</x:row>
    <x:row r="36" spans="1:52" s="2" customFormat="1">
      <x:c r="A36" s="1" t="s">
        <x:v>306</x:v>
      </x:c>
      <x:c r="B36" s="1" t="s">
        <x:v>15</x:v>
      </x:c>
      <x:c r="C36" s="1" t="s">
        <x:v>133</x:v>
      </x:c>
      <x:c r="D36" s="1" t="s">
        <x:v>149</x:v>
      </x:c>
      <x:c r="E36" s="1" t="s">
        <x:v>105</x:v>
      </x:c>
      <x:c r="F36" s="1" t="s">
        <x:v>97</x:v>
      </x:c>
      <x:c r="G36" s="1" t="s">
        <x:v>164</x:v>
      </x:c>
      <x:c r="H36" s="1">
        <x:v>46282</x:v>
      </x:c>
      <x:c r="I36" s="1">
        <x:v>46282</x:v>
      </x:c>
      <x:c r="J36" s="1" t="s">
        <x:v>177</x:v>
      </x:c>
      <x:c r="K36" s="1">
        <x:v>134000</x:v>
      </x:c>
      <x:c r="L36" s="1">
        <x:v>0</x:v>
      </x:c>
      <x:c r="M36" s="1">
        <x:v>2</x:v>
      </x:c>
      <x:c r="N36" s="1">
        <x:v>20</x:v>
      </x:c>
      <x:c r="O36" s="14">
        <x:v>0.66000000000000003</x:v>
      </x:c>
      <x:c r="P36" s="1" t="s">
        <x:v>143</x:v>
      </x:c>
      <x:c r="Q36" s="5" t="s">
        <x:v>202</x:v>
      </x:c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</x:row>
    <x:row r="37" spans="1:52" s="2" customFormat="1">
      <x:c r="A37" s="1" t="s">
        <x:v>296</x:v>
      </x:c>
      <x:c r="B37" s="11" t="s">
        <x:v>270</x:v>
      </x:c>
      <x:c r="C37" s="11" t="s">
        <x:v>133</x:v>
      </x:c>
      <x:c r="D37" s="5" t="s">
        <x:v>34</x:v>
      </x:c>
      <x:c r="E37" s="5" t="s">
        <x:v>14</x:v>
      </x:c>
      <x:c r="F37" s="1" t="s">
        <x:v>97</x:v>
      </x:c>
      <x:c r="G37" s="1" t="s">
        <x:v>164</x:v>
      </x:c>
      <x:c r="H37" s="1">
        <x:v>46284</x:v>
      </x:c>
      <x:c r="I37" s="1">
        <x:v>46284</x:v>
      </x:c>
      <x:c r="J37" s="1" t="s">
        <x:v>177</x:v>
      </x:c>
      <x:c r="K37" s="13">
        <x:v>0</x:v>
      </x:c>
      <x:c r="L37" s="13">
        <x:v>0</x:v>
      </x:c>
      <x:c r="M37" s="5">
        <x:v>4</x:v>
      </x:c>
      <x:c r="N37" s="5">
        <x:v>13</x:v>
      </x:c>
      <x:c r="O37" s="14">
        <x:v>0.66000000000000003</x:v>
      </x:c>
      <x:c r="P37" s="5" t="s">
        <x:v>34</x:v>
      </x:c>
      <x:c r="Q37" s="5" t="s">
        <x:v>202</x:v>
      </x:c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</x:row>
    <x:row r="38" spans="1:52" s="2" customFormat="1">
      <x:c r="A38" s="1" t="s">
        <x:v>293</x:v>
      </x:c>
      <x:c r="B38" s="11" t="s">
        <x:v>307</x:v>
      </x:c>
      <x:c r="C38" s="11" t="s">
        <x:v>133</x:v>
      </x:c>
      <x:c r="D38" s="5" t="s">
        <x:v>34</x:v>
      </x:c>
      <x:c r="E38" s="5" t="s">
        <x:v>14</x:v>
      </x:c>
      <x:c r="F38" s="1" t="s">
        <x:v>97</x:v>
      </x:c>
      <x:c r="G38" s="1" t="s">
        <x:v>164</x:v>
      </x:c>
      <x:c r="H38" s="1">
        <x:v>46291</x:v>
      </x:c>
      <x:c r="I38" s="1">
        <x:v>46291</x:v>
      </x:c>
      <x:c r="J38" s="1" t="s">
        <x:v>177</x:v>
      </x:c>
      <x:c r="K38" s="13">
        <x:v>0</x:v>
      </x:c>
      <x:c r="L38" s="13">
        <x:v>0</x:v>
      </x:c>
      <x:c r="M38" s="5">
        <x:v>4</x:v>
      </x:c>
      <x:c r="N38" s="5">
        <x:v>13</x:v>
      </x:c>
      <x:c r="O38" s="14">
        <x:v>0.69999999999999996</x:v>
      </x:c>
      <x:c r="P38" s="5" t="s">
        <x:v>34</x:v>
      </x:c>
      <x:c r="Q38" s="5" t="s">
        <x:v>202</x:v>
      </x:c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</x:row>
    <x:row r="39" spans="1:52" s="2" customFormat="1">
      <x:c r="A39" s="1" t="s">
        <x:v>302</x:v>
      </x:c>
      <x:c r="B39" s="1" t="s">
        <x:v>33</x:v>
      </x:c>
      <x:c r="C39" s="1" t="s">
        <x:v>133</x:v>
      </x:c>
      <x:c r="D39" s="1" t="s">
        <x:v>149</x:v>
      </x:c>
      <x:c r="E39" s="1" t="s">
        <x:v>105</x:v>
      </x:c>
      <x:c r="F39" s="1" t="s">
        <x:v>97</x:v>
      </x:c>
      <x:c r="G39" s="1" t="s">
        <x:v>164</x:v>
      </x:c>
      <x:c r="H39" s="1">
        <x:v>46295</x:v>
      </x:c>
      <x:c r="I39" s="1">
        <x:v>46295</x:v>
      </x:c>
      <x:c r="J39" s="1" t="s">
        <x:v>177</x:v>
      </x:c>
      <x:c r="K39" s="1">
        <x:v>92000</x:v>
      </x:c>
      <x:c r="L39" s="1">
        <x:v>0</x:v>
      </x:c>
      <x:c r="M39" s="1">
        <x:v>2</x:v>
      </x:c>
      <x:c r="N39" s="1">
        <x:v>20</x:v>
      </x:c>
      <x:c r="O39" s="14">
        <x:v>0.68000000000000005</x:v>
      </x:c>
      <x:c r="P39" s="1" t="s">
        <x:v>143</x:v>
      </x:c>
      <x:c r="Q39" s="5" t="s">
        <x:v>202</x:v>
      </x:c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</x:row>
    <x:row r="40" spans="1:52" s="2" customFormat="1">
      <x:c r="A40" s="1" t="s">
        <x:v>318</x:v>
      </x:c>
      <x:c r="B40" s="1" t="s">
        <x:v>10</x:v>
      </x:c>
      <x:c r="C40" s="1" t="s">
        <x:v>133</x:v>
      </x:c>
      <x:c r="D40" s="1" t="s">
        <x:v>149</x:v>
      </x:c>
      <x:c r="E40" s="1" t="s">
        <x:v>105</x:v>
      </x:c>
      <x:c r="F40" s="1" t="s">
        <x:v>97</x:v>
      </x:c>
      <x:c r="G40" s="1" t="s">
        <x:v>164</x:v>
      </x:c>
      <x:c r="H40" s="1">
        <x:v>46296</x:v>
      </x:c>
      <x:c r="I40" s="1">
        <x:v>46296</x:v>
      </x:c>
      <x:c r="J40" s="1" t="s">
        <x:v>177</x:v>
      </x:c>
      <x:c r="K40" s="1">
        <x:v>76000</x:v>
      </x:c>
      <x:c r="L40" s="1">
        <x:v>0</x:v>
      </x:c>
      <x:c r="M40" s="1">
        <x:v>2</x:v>
      </x:c>
      <x:c r="N40" s="1">
        <x:v>20</x:v>
      </x:c>
      <x:c r="O40" s="14">
        <x:v>0.69999999999999996</x:v>
      </x:c>
      <x:c r="P40" s="1" t="s">
        <x:v>143</x:v>
      </x:c>
      <x:c r="Q40" s="5" t="s">
        <x:v>202</x:v>
      </x:c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</x:row>
    <x:row r="41" spans="1:52" s="2" customFormat="1">
      <x:c r="A41" s="1" t="s">
        <x:v>348</x:v>
      </x:c>
      <x:c r="B41" s="11" t="s">
        <x:v>267</x:v>
      </x:c>
      <x:c r="C41" s="11" t="s">
        <x:v>133</x:v>
      </x:c>
      <x:c r="D41" s="5" t="s">
        <x:v>34</x:v>
      </x:c>
      <x:c r="E41" s="5" t="s">
        <x:v>14</x:v>
      </x:c>
      <x:c r="F41" s="1" t="s">
        <x:v>97</x:v>
      </x:c>
      <x:c r="G41" s="1" t="s">
        <x:v>164</x:v>
      </x:c>
      <x:c r="H41" s="1">
        <x:v>46298</x:v>
      </x:c>
      <x:c r="I41" s="1">
        <x:v>46298</x:v>
      </x:c>
      <x:c r="J41" s="1" t="s">
        <x:v>177</x:v>
      </x:c>
      <x:c r="K41" s="13">
        <x:v>0</x:v>
      </x:c>
      <x:c r="L41" s="13">
        <x:v>0</x:v>
      </x:c>
      <x:c r="M41" s="5">
        <x:v>4</x:v>
      </x:c>
      <x:c r="N41" s="5">
        <x:v>13</x:v>
      </x:c>
      <x:c r="O41" s="14">
        <x:v>0.72999999999999998</x:v>
      </x:c>
      <x:c r="P41" s="5" t="s">
        <x:v>34</x:v>
      </x:c>
      <x:c r="Q41" s="5" t="s">
        <x:v>202</x:v>
      </x:c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</x:row>
    <x:row r="42" spans="1:52" s="2" customFormat="1">
      <x:c r="A42" s="1" t="s">
        <x:v>359</x:v>
      </x:c>
      <x:c r="B42" s="1" t="s">
        <x:v>5</x:v>
      </x:c>
      <x:c r="C42" s="1" t="s">
        <x:v>133</x:v>
      </x:c>
      <x:c r="D42" s="1" t="s">
        <x:v>149</x:v>
      </x:c>
      <x:c r="E42" s="1" t="s">
        <x:v>105</x:v>
      </x:c>
      <x:c r="F42" s="1" t="s">
        <x:v>97</x:v>
      </x:c>
      <x:c r="G42" s="1" t="s">
        <x:v>164</x:v>
      </x:c>
      <x:c r="H42" s="1">
        <x:v>46302</x:v>
      </x:c>
      <x:c r="I42" s="1">
        <x:v>46302</x:v>
      </x:c>
      <x:c r="J42" s="1" t="s">
        <x:v>177</x:v>
      </x:c>
      <x:c r="K42" s="1">
        <x:v>104000</x:v>
      </x:c>
      <x:c r="L42" s="1">
        <x:v>0</x:v>
      </x:c>
      <x:c r="M42" s="1">
        <x:v>2</x:v>
      </x:c>
      <x:c r="N42" s="1">
        <x:v>20</x:v>
      </x:c>
      <x:c r="O42" s="14">
        <x:v>0.71999999999999997</x:v>
      </x:c>
      <x:c r="P42" s="1" t="s">
        <x:v>143</x:v>
      </x:c>
      <x:c r="Q42" s="5" t="s">
        <x:v>202</x:v>
      </x:c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</x:row>
    <x:row r="43" spans="1:52" s="2" customFormat="1">
      <x:c r="A43" s="1" t="s">
        <x:v>352</x:v>
      </x:c>
      <x:c r="B43" s="1" t="s">
        <x:v>2</x:v>
      </x:c>
      <x:c r="C43" s="1" t="s">
        <x:v>133</x:v>
      </x:c>
      <x:c r="D43" s="1" t="s">
        <x:v>149</x:v>
      </x:c>
      <x:c r="E43" s="1" t="s">
        <x:v>105</x:v>
      </x:c>
      <x:c r="F43" s="1" t="s">
        <x:v>97</x:v>
      </x:c>
      <x:c r="G43" s="1" t="s">
        <x:v>164</x:v>
      </x:c>
      <x:c r="H43" s="1">
        <x:v>46303</x:v>
      </x:c>
      <x:c r="I43" s="1">
        <x:v>46303</x:v>
      </x:c>
      <x:c r="J43" s="1" t="s">
        <x:v>177</x:v>
      </x:c>
      <x:c r="K43" s="1">
        <x:v>88000</x:v>
      </x:c>
      <x:c r="L43" s="1">
        <x:v>0</x:v>
      </x:c>
      <x:c r="M43" s="1">
        <x:v>2</x:v>
      </x:c>
      <x:c r="N43" s="1">
        <x:v>20</x:v>
      </x:c>
      <x:c r="O43" s="14">
        <x:v>0.75</x:v>
      </x:c>
      <x:c r="P43" s="1" t="s">
        <x:v>143</x:v>
      </x:c>
      <x:c r="Q43" s="5" t="s">
        <x:v>202</x:v>
      </x:c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</x:row>
    <x:row r="44" spans="1:52" s="2" customFormat="1">
      <x:c r="A44" s="1" t="s">
        <x:v>350</x:v>
      </x:c>
      <x:c r="B44" s="11" t="s">
        <x:v>338</x:v>
      </x:c>
      <x:c r="C44" s="11" t="s">
        <x:v>133</x:v>
      </x:c>
      <x:c r="D44" s="5" t="s">
        <x:v>34</x:v>
      </x:c>
      <x:c r="E44" s="5" t="s">
        <x:v>14</x:v>
      </x:c>
      <x:c r="F44" s="1" t="s">
        <x:v>97</x:v>
      </x:c>
      <x:c r="G44" s="1" t="s">
        <x:v>164</x:v>
      </x:c>
      <x:c r="H44" s="1">
        <x:v>46305</x:v>
      </x:c>
      <x:c r="I44" s="1">
        <x:v>46305</x:v>
      </x:c>
      <x:c r="J44" s="1" t="s">
        <x:v>177</x:v>
      </x:c>
      <x:c r="K44" s="13">
        <x:v>0</x:v>
      </x:c>
      <x:c r="L44" s="13">
        <x:v>0</x:v>
      </x:c>
      <x:c r="M44" s="5">
        <x:v>4</x:v>
      </x:c>
      <x:c r="N44" s="5">
        <x:v>13</x:v>
      </x:c>
      <x:c r="O44" s="14">
        <x:v>0.76000000000000001</x:v>
      </x:c>
      <x:c r="P44" s="5" t="s">
        <x:v>34</x:v>
      </x:c>
      <x:c r="Q44" s="5" t="s">
        <x:v>202</x:v>
      </x:c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</x:row>
    <x:row r="45" spans="1:52" s="2" customFormat="1">
      <x:c r="A45" s="1" t="s">
        <x:v>284</x:v>
      </x:c>
      <x:c r="B45" s="11" t="s">
        <x:v>309</x:v>
      </x:c>
      <x:c r="C45" s="11" t="s">
        <x:v>133</x:v>
      </x:c>
      <x:c r="D45" s="5" t="s">
        <x:v>13</x:v>
      </x:c>
      <x:c r="E45" s="5" t="s">
        <x:v>339</x:v>
      </x:c>
      <x:c r="F45" s="1" t="s">
        <x:v>97</x:v>
      </x:c>
      <x:c r="G45" s="1" t="s">
        <x:v>164</x:v>
      </x:c>
      <x:c r="H45" s="1">
        <x:v>46308</x:v>
      </x:c>
      <x:c r="I45" s="1">
        <x:v>46308</x:v>
      </x:c>
      <x:c r="J45" s="1" t="s">
        <x:v>177</x:v>
      </x:c>
      <x:c r="K45" s="13">
        <x:v>0</x:v>
      </x:c>
      <x:c r="L45" s="13">
        <x:v>0</x:v>
      </x:c>
      <x:c r="M45" s="5">
        <x:v>7</x:v>
      </x:c>
      <x:c r="N45" s="5">
        <x:v>200</x:v>
      </x:c>
      <x:c r="O45" s="14">
        <x:v>0.82999999999999996</x:v>
      </x:c>
      <x:c r="P45" s="1" t="s">
        <x:v>13</x:v>
      </x:c>
      <x:c r="Q45" s="5" t="s">
        <x:v>202</x:v>
      </x:c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</x:row>
    <x:row r="46" spans="1:52" s="2" customFormat="1">
      <x:c r="A46" s="1" t="s">
        <x:v>363</x:v>
      </x:c>
      <x:c r="B46" s="1" t="s">
        <x:v>31</x:v>
      </x:c>
      <x:c r="C46" s="1" t="s">
        <x:v>133</x:v>
      </x:c>
      <x:c r="D46" s="1" t="s">
        <x:v>149</x:v>
      </x:c>
      <x:c r="E46" s="1" t="s">
        <x:v>105</x:v>
      </x:c>
      <x:c r="F46" s="1" t="s">
        <x:v>97</x:v>
      </x:c>
      <x:c r="G46" s="1" t="s">
        <x:v>164</x:v>
      </x:c>
      <x:c r="H46" s="1">
        <x:v>46309</x:v>
      </x:c>
      <x:c r="I46" s="1">
        <x:v>46309</x:v>
      </x:c>
      <x:c r="J46" s="1" t="s">
        <x:v>177</x:v>
      </x:c>
      <x:c r="K46" s="1">
        <x:v>132000</x:v>
      </x:c>
      <x:c r="L46" s="1">
        <x:v>0</x:v>
      </x:c>
      <x:c r="M46" s="1">
        <x:v>2</x:v>
      </x:c>
      <x:c r="N46" s="1">
        <x:v>20</x:v>
      </x:c>
      <x:c r="O46" s="14">
        <x:v>0.77000000000000002</x:v>
      </x:c>
      <x:c r="P46" s="1" t="s">
        <x:v>143</x:v>
      </x:c>
      <x:c r="Q46" s="5" t="s">
        <x:v>202</x:v>
      </x:c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</x:row>
    <x:row r="47" spans="1:52" s="2" customFormat="1">
      <x:c r="A47" s="1" t="s">
        <x:v>353</x:v>
      </x:c>
      <x:c r="B47" s="1" t="s">
        <x:v>6</x:v>
      </x:c>
      <x:c r="C47" s="1" t="s">
        <x:v>133</x:v>
      </x:c>
      <x:c r="D47" s="1" t="s">
        <x:v>149</x:v>
      </x:c>
      <x:c r="E47" s="1" t="s">
        <x:v>105</x:v>
      </x:c>
      <x:c r="F47" s="1" t="s">
        <x:v>97</x:v>
      </x:c>
      <x:c r="G47" s="1" t="s">
        <x:v>164</x:v>
      </x:c>
      <x:c r="H47" s="1">
        <x:v>46310</x:v>
      </x:c>
      <x:c r="I47" s="1">
        <x:v>46310</x:v>
      </x:c>
      <x:c r="J47" s="1" t="s">
        <x:v>177</x:v>
      </x:c>
      <x:c r="K47" s="1">
        <x:v>134000</x:v>
      </x:c>
      <x:c r="L47" s="1">
        <x:v>0</x:v>
      </x:c>
      <x:c r="M47" s="1">
        <x:v>2</x:v>
      </x:c>
      <x:c r="N47" s="1">
        <x:v>20</x:v>
      </x:c>
      <x:c r="O47" s="14">
        <x:v>0.79000000000000004</x:v>
      </x:c>
      <x:c r="P47" s="1" t="s">
        <x:v>143</x:v>
      </x:c>
      <x:c r="Q47" s="5" t="s">
        <x:v>202</x:v>
      </x:c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</x:row>
    <x:row r="48" spans="1:52" s="2" customFormat="1">
      <x:c r="A48" s="1" t="s">
        <x:v>347</x:v>
      </x:c>
      <x:c r="B48" s="11" t="s">
        <x:v>340</x:v>
      </x:c>
      <x:c r="C48" s="11" t="s">
        <x:v>133</x:v>
      </x:c>
      <x:c r="D48" s="5" t="s">
        <x:v>34</x:v>
      </x:c>
      <x:c r="E48" s="5" t="s">
        <x:v>14</x:v>
      </x:c>
      <x:c r="F48" s="1" t="s">
        <x:v>97</x:v>
      </x:c>
      <x:c r="G48" s="1" t="s">
        <x:v>164</x:v>
      </x:c>
      <x:c r="H48" s="1">
        <x:v>46312</x:v>
      </x:c>
      <x:c r="I48" s="1">
        <x:v>46312</x:v>
      </x:c>
      <x:c r="J48" s="1" t="s">
        <x:v>177</x:v>
      </x:c>
      <x:c r="K48" s="13">
        <x:v>0</x:v>
      </x:c>
      <x:c r="L48" s="13">
        <x:v>0</x:v>
      </x:c>
      <x:c r="M48" s="5">
        <x:v>4</x:v>
      </x:c>
      <x:c r="N48" s="5">
        <x:v>13</x:v>
      </x:c>
      <x:c r="O48" s="14">
        <x:v>0.80000000000000004</x:v>
      </x:c>
      <x:c r="P48" s="5" t="s">
        <x:v>34</x:v>
      </x:c>
      <x:c r="Q48" s="5" t="s">
        <x:v>202</x:v>
      </x:c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</x:row>
    <x:row r="49" spans="1:52" s="2" customFormat="1">
      <x:c r="A49" s="1" t="s">
        <x:v>313</x:v>
      </x:c>
      <x:c r="B49" s="1" t="s">
        <x:v>16</x:v>
      </x:c>
      <x:c r="C49" s="1" t="s">
        <x:v>133</x:v>
      </x:c>
      <x:c r="D49" s="1" t="s">
        <x:v>149</x:v>
      </x:c>
      <x:c r="E49" s="1" t="s">
        <x:v>105</x:v>
      </x:c>
      <x:c r="F49" s="1" t="s">
        <x:v>97</x:v>
      </x:c>
      <x:c r="G49" s="1" t="s">
        <x:v>164</x:v>
      </x:c>
      <x:c r="H49" s="1">
        <x:v>46316</x:v>
      </x:c>
      <x:c r="I49" s="1">
        <x:v>46316</x:v>
      </x:c>
      <x:c r="J49" s="1" t="s">
        <x:v>177</x:v>
      </x:c>
      <x:c r="K49" s="1">
        <x:v>76000</x:v>
      </x:c>
      <x:c r="L49" s="1">
        <x:v>0</x:v>
      </x:c>
      <x:c r="M49" s="1">
        <x:v>2</x:v>
      </x:c>
      <x:c r="N49" s="1">
        <x:v>20</x:v>
      </x:c>
      <x:c r="O49" s="14">
        <x:v>0.81000000000000005</x:v>
      </x:c>
      <x:c r="P49" s="1" t="s">
        <x:v>143</x:v>
      </x:c>
      <x:c r="Q49" s="5" t="s">
        <x:v>202</x:v>
      </x:c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</x:row>
    <x:row r="50" spans="1:52" s="2" customFormat="1">
      <x:c r="A50" s="1" t="s">
        <x:v>290</x:v>
      </x:c>
      <x:c r="B50" s="1" t="s">
        <x:v>1</x:v>
      </x:c>
      <x:c r="C50" s="1" t="s">
        <x:v>133</x:v>
      </x:c>
      <x:c r="D50" s="1" t="s">
        <x:v>149</x:v>
      </x:c>
      <x:c r="E50" s="1" t="s">
        <x:v>105</x:v>
      </x:c>
      <x:c r="F50" s="1" t="s">
        <x:v>97</x:v>
      </x:c>
      <x:c r="G50" s="1" t="s">
        <x:v>164</x:v>
      </x:c>
      <x:c r="H50" s="1">
        <x:v>46317</x:v>
      </x:c>
      <x:c r="I50" s="1">
        <x:v>46317</x:v>
      </x:c>
      <x:c r="J50" s="1" t="s">
        <x:v>177</x:v>
      </x:c>
      <x:c r="K50" s="1">
        <x:v>176000</x:v>
      </x:c>
      <x:c r="L50" s="1">
        <x:v>0</x:v>
      </x:c>
      <x:c r="M50" s="1">
        <x:v>2</x:v>
      </x:c>
      <x:c r="N50" s="1">
        <x:v>20</x:v>
      </x:c>
      <x:c r="O50" s="14">
        <x:v>0.83999999999999997</x:v>
      </x:c>
      <x:c r="P50" s="1" t="s">
        <x:v>143</x:v>
      </x:c>
      <x:c r="Q50" s="5" t="s">
        <x:v>202</x:v>
      </x:c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</x:row>
    <x:row r="51" spans="1:52" s="2" customFormat="1">
      <x:c r="A51" s="1" t="s">
        <x:v>365</x:v>
      </x:c>
      <x:c r="B51" s="11" t="s">
        <x:v>332</x:v>
      </x:c>
      <x:c r="C51" s="11" t="s">
        <x:v>133</x:v>
      </x:c>
      <x:c r="D51" s="5" t="s">
        <x:v>34</x:v>
      </x:c>
      <x:c r="E51" s="5" t="s">
        <x:v>14</x:v>
      </x:c>
      <x:c r="F51" s="1" t="s">
        <x:v>97</x:v>
      </x:c>
      <x:c r="G51" s="1" t="s">
        <x:v>164</x:v>
      </x:c>
      <x:c r="H51" s="1">
        <x:v>46319</x:v>
      </x:c>
      <x:c r="I51" s="1">
        <x:v>46319</x:v>
      </x:c>
      <x:c r="J51" s="1" t="s">
        <x:v>177</x:v>
      </x:c>
      <x:c r="K51" s="13">
        <x:v>0</x:v>
      </x:c>
      <x:c r="L51" s="13">
        <x:v>0</x:v>
      </x:c>
      <x:c r="M51" s="5">
        <x:v>4</x:v>
      </x:c>
      <x:c r="N51" s="5">
        <x:v>13</x:v>
      </x:c>
      <x:c r="O51" s="14">
        <x:v>0.82999999999999996</x:v>
      </x:c>
      <x:c r="P51" s="5" t="s">
        <x:v>34</x:v>
      </x:c>
      <x:c r="Q51" s="5" t="s">
        <x:v>202</x:v>
      </x:c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</x:row>
    <x:row r="52" spans="1:52" s="2" customFormat="1">
      <x:c r="A52" s="1" t="s">
        <x:v>277</x:v>
      </x:c>
      <x:c r="B52" s="1" t="s">
        <x:v>24</x:v>
      </x:c>
      <x:c r="C52" s="1" t="s">
        <x:v>133</x:v>
      </x:c>
      <x:c r="D52" s="1" t="s">
        <x:v>149</x:v>
      </x:c>
      <x:c r="E52" s="1" t="s">
        <x:v>105</x:v>
      </x:c>
      <x:c r="F52" s="1" t="s">
        <x:v>97</x:v>
      </x:c>
      <x:c r="G52" s="1" t="s">
        <x:v>164</x:v>
      </x:c>
      <x:c r="H52" s="1">
        <x:v>46323</x:v>
      </x:c>
      <x:c r="I52" s="1">
        <x:v>46323</x:v>
      </x:c>
      <x:c r="J52" s="1" t="s">
        <x:v>177</x:v>
      </x:c>
      <x:c r="K52" s="1">
        <x:v>92000</x:v>
      </x:c>
      <x:c r="L52" s="1">
        <x:v>0</x:v>
      </x:c>
      <x:c r="M52" s="1">
        <x:v>2</x:v>
      </x:c>
      <x:c r="N52" s="1">
        <x:v>20</x:v>
      </x:c>
      <x:c r="O52" s="14">
        <x:v>0.85999999999999999</x:v>
      </x:c>
      <x:c r="P52" s="1" t="s">
        <x:v>143</x:v>
      </x:c>
      <x:c r="Q52" s="5" t="s">
        <x:v>202</x:v>
      </x:c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</x:row>
    <x:row r="53" spans="1:52" s="2" customFormat="1">
      <x:c r="A53" s="1" t="s">
        <x:v>288</x:v>
      </x:c>
      <x:c r="B53" s="1" t="s">
        <x:v>26</x:v>
      </x:c>
      <x:c r="C53" s="1" t="s">
        <x:v>133</x:v>
      </x:c>
      <x:c r="D53" s="1" t="s">
        <x:v>149</x:v>
      </x:c>
      <x:c r="E53" s="1" t="s">
        <x:v>105</x:v>
      </x:c>
      <x:c r="F53" s="1" t="s">
        <x:v>97</x:v>
      </x:c>
      <x:c r="G53" s="1" t="s">
        <x:v>164</x:v>
      </x:c>
      <x:c r="H53" s="1">
        <x:v>46324</x:v>
      </x:c>
      <x:c r="I53" s="1">
        <x:v>46324</x:v>
      </x:c>
      <x:c r="J53" s="1" t="s">
        <x:v>177</x:v>
      </x:c>
      <x:c r="K53" s="1">
        <x:v>134000</x:v>
      </x:c>
      <x:c r="L53" s="1">
        <x:v>0</x:v>
      </x:c>
      <x:c r="M53" s="1">
        <x:v>2</x:v>
      </x:c>
      <x:c r="N53" s="1">
        <x:v>20</x:v>
      </x:c>
      <x:c r="O53" s="14">
        <x:v>0.88</x:v>
      </x:c>
      <x:c r="P53" s="1" t="s">
        <x:v>143</x:v>
      </x:c>
      <x:c r="Q53" s="5" t="s">
        <x:v>202</x:v>
      </x:c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</x:row>
    <x:row r="54" spans="1:52" s="2" customFormat="1">
      <x:c r="A54" s="1" t="s">
        <x:v>362</x:v>
      </x:c>
      <x:c r="B54" s="1" t="s">
        <x:v>334</x:v>
      </x:c>
      <x:c r="C54" s="1" t="s">
        <x:v>133</x:v>
      </x:c>
      <x:c r="D54" s="5" t="s">
        <x:v>13</x:v>
      </x:c>
      <x:c r="E54" s="5" t="s">
        <x:v>339</x:v>
      </x:c>
      <x:c r="F54" s="1" t="s">
        <x:v>97</x:v>
      </x:c>
      <x:c r="G54" s="1" t="s">
        <x:v>164</x:v>
      </x:c>
      <x:c r="H54" s="1">
        <x:v>46326</x:v>
      </x:c>
      <x:c r="I54" s="1">
        <x:v>46326</x:v>
      </x:c>
      <x:c r="J54" s="1" t="s">
        <x:v>177</x:v>
      </x:c>
      <x:c r="K54" s="13">
        <x:v>0</x:v>
      </x:c>
      <x:c r="L54" s="13">
        <x:v>0</x:v>
      </x:c>
      <x:c r="M54" s="5">
        <x:v>5</x:v>
      </x:c>
      <x:c r="N54" s="5">
        <x:v>200</x:v>
      </x:c>
      <x:c r="O54" s="14">
        <x:v>0.91000000000000003</x:v>
      </x:c>
      <x:c r="P54" s="1" t="s">
        <x:v>13</x:v>
      </x:c>
      <x:c r="Q54" s="5" t="s">
        <x:v>202</x:v>
      </x:c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</x:row>
    <x:row r="55" spans="1:52" s="2" customFormat="1">
      <x:c r="A55" s="1" t="s">
        <x:v>281</x:v>
      </x:c>
      <x:c r="B55" s="11" t="s">
        <x:v>343</x:v>
      </x:c>
      <x:c r="C55" s="11" t="s">
        <x:v>133</x:v>
      </x:c>
      <x:c r="D55" s="5" t="s">
        <x:v>34</x:v>
      </x:c>
      <x:c r="E55" s="5" t="s">
        <x:v>14</x:v>
      </x:c>
      <x:c r="F55" s="1" t="s">
        <x:v>97</x:v>
      </x:c>
      <x:c r="G55" s="1" t="s">
        <x:v>164</x:v>
      </x:c>
      <x:c r="H55" s="1">
        <x:v>46326</x:v>
      </x:c>
      <x:c r="I55" s="1">
        <x:v>46326</x:v>
      </x:c>
      <x:c r="J55" s="1" t="s">
        <x:v>177</x:v>
      </x:c>
      <x:c r="K55" s="13">
        <x:v>0</x:v>
      </x:c>
      <x:c r="L55" s="13">
        <x:v>0</x:v>
      </x:c>
      <x:c r="M55" s="5">
        <x:v>4</x:v>
      </x:c>
      <x:c r="N55" s="5">
        <x:v>13</x:v>
      </x:c>
      <x:c r="O55" s="14">
        <x:v>0.85999999999999999</x:v>
      </x:c>
      <x:c r="P55" s="5" t="s">
        <x:v>34</x:v>
      </x:c>
      <x:c r="Q55" s="5" t="s">
        <x:v>202</x:v>
      </x:c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</x:row>
    <x:row r="56" spans="1:52" s="2" customFormat="1">
      <x:c r="A56" s="1" t="s">
        <x:v>369</x:v>
      </x:c>
      <x:c r="B56" s="1" t="s">
        <x:v>4</x:v>
      </x:c>
      <x:c r="C56" s="1" t="s">
        <x:v>133</x:v>
      </x:c>
      <x:c r="D56" s="1" t="s">
        <x:v>149</x:v>
      </x:c>
      <x:c r="E56" s="1" t="s">
        <x:v>105</x:v>
      </x:c>
      <x:c r="F56" s="1" t="s">
        <x:v>97</x:v>
      </x:c>
      <x:c r="G56" s="1" t="s">
        <x:v>164</x:v>
      </x:c>
      <x:c r="H56" s="1">
        <x:v>46330</x:v>
      </x:c>
      <x:c r="I56" s="1">
        <x:v>46330</x:v>
      </x:c>
      <x:c r="J56" s="1" t="s">
        <x:v>177</x:v>
      </x:c>
      <x:c r="K56" s="1">
        <x:v>176000</x:v>
      </x:c>
      <x:c r="L56" s="1">
        <x:v>0</x:v>
      </x:c>
      <x:c r="M56" s="1">
        <x:v>2</x:v>
      </x:c>
      <x:c r="N56" s="1">
        <x:v>20</x:v>
      </x:c>
      <x:c r="O56" s="14">
        <x:v>0.90000000000000002</x:v>
      </x:c>
      <x:c r="P56" s="1" t="s">
        <x:v>143</x:v>
      </x:c>
      <x:c r="Q56" s="5" t="s">
        <x:v>202</x:v>
      </x:c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</x:row>
    <x:row r="57" spans="1:52" s="2" customFormat="1">
      <x:c r="A57" s="1" t="s">
        <x:v>349</x:v>
      </x:c>
      <x:c r="B57" s="1" t="s">
        <x:v>29</x:v>
      </x:c>
      <x:c r="C57" s="1" t="s">
        <x:v>133</x:v>
      </x:c>
      <x:c r="D57" s="1" t="s">
        <x:v>149</x:v>
      </x:c>
      <x:c r="E57" s="1" t="s">
        <x:v>105</x:v>
      </x:c>
      <x:c r="F57" s="1" t="s">
        <x:v>97</x:v>
      </x:c>
      <x:c r="G57" s="1" t="s">
        <x:v>164</x:v>
      </x:c>
      <x:c r="H57" s="1">
        <x:v>46331</x:v>
      </x:c>
      <x:c r="I57" s="1">
        <x:v>46331</x:v>
      </x:c>
      <x:c r="J57" s="1" t="s">
        <x:v>177</x:v>
      </x:c>
      <x:c r="K57" s="1">
        <x:v>132000</x:v>
      </x:c>
      <x:c r="L57" s="1">
        <x:v>0</x:v>
      </x:c>
      <x:c r="M57" s="1">
        <x:v>2</x:v>
      </x:c>
      <x:c r="N57" s="1">
        <x:v>20</x:v>
      </x:c>
      <x:c r="O57" s="14">
        <x:v>0.93000000000000005</x:v>
      </x:c>
      <x:c r="P57" s="1" t="s">
        <x:v>143</x:v>
      </x:c>
      <x:c r="Q57" s="5" t="s">
        <x:v>202</x:v>
      </x:c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</x:row>
    <x:row r="58" spans="1:52" s="2" customFormat="1">
      <x:c r="A58" s="1" t="s">
        <x:v>367</x:v>
      </x:c>
      <x:c r="B58" s="11" t="s">
        <x:v>273</x:v>
      </x:c>
      <x:c r="C58" s="11" t="s">
        <x:v>133</x:v>
      </x:c>
      <x:c r="D58" s="5" t="s">
        <x:v>34</x:v>
      </x:c>
      <x:c r="E58" s="5" t="s">
        <x:v>14</x:v>
      </x:c>
      <x:c r="F58" s="1" t="s">
        <x:v>97</x:v>
      </x:c>
      <x:c r="G58" s="1" t="s">
        <x:v>164</x:v>
      </x:c>
      <x:c r="H58" s="1">
        <x:v>46333</x:v>
      </x:c>
      <x:c r="I58" s="1">
        <x:v>46333</x:v>
      </x:c>
      <x:c r="J58" s="1" t="s">
        <x:v>177</x:v>
      </x:c>
      <x:c r="K58" s="13">
        <x:v>0</x:v>
      </x:c>
      <x:c r="L58" s="13">
        <x:v>0</x:v>
      </x:c>
      <x:c r="M58" s="5">
        <x:v>4</x:v>
      </x:c>
      <x:c r="N58" s="5">
        <x:v>13</x:v>
      </x:c>
      <x:c r="O58" s="14">
        <x:v>0.90000000000000002</x:v>
      </x:c>
      <x:c r="P58" s="5" t="s">
        <x:v>34</x:v>
      </x:c>
      <x:c r="Q58" s="5" t="s">
        <x:v>202</x:v>
      </x:c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</x:row>
    <x:row r="59" spans="1:52" s="2" customFormat="1">
      <x:c r="A59" s="1" t="s">
        <x:v>361</x:v>
      </x:c>
      <x:c r="B59" s="1" t="s">
        <x:v>364</x:v>
      </x:c>
      <x:c r="C59" s="1" t="s">
        <x:v>133</x:v>
      </x:c>
      <x:c r="D59" s="5" t="s">
        <x:v>13</x:v>
      </x:c>
      <x:c r="E59" s="5" t="s">
        <x:v>339</x:v>
      </x:c>
      <x:c r="F59" s="1" t="s">
        <x:v>97</x:v>
      </x:c>
      <x:c r="G59" s="1" t="s">
        <x:v>164</x:v>
      </x:c>
      <x:c r="H59" s="1">
        <x:v>46336</x:v>
      </x:c>
      <x:c r="I59" s="1">
        <x:v>46336</x:v>
      </x:c>
      <x:c r="J59" s="1" t="s">
        <x:v>177</x:v>
      </x:c>
      <x:c r="K59" s="13">
        <x:v>0</x:v>
      </x:c>
      <x:c r="L59" s="13">
        <x:v>0</x:v>
      </x:c>
      <x:c r="M59" s="5">
        <x:v>5</x:v>
      </x:c>
      <x:c r="N59" s="5">
        <x:v>200</x:v>
      </x:c>
      <x:c r="O59" s="14">
        <x:v>1</x:v>
      </x:c>
      <x:c r="P59" s="1" t="s">
        <x:v>13</x:v>
      </x:c>
      <x:c r="Q59" s="5" t="s">
        <x:v>202</x:v>
      </x:c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</x:row>
    <x:row r="60" spans="1:52" s="2" customFormat="1">
      <x:c r="A60" s="1" t="s">
        <x:v>271</x:v>
      </x:c>
      <x:c r="B60" s="1" t="s">
        <x:v>27</x:v>
      </x:c>
      <x:c r="C60" s="1" t="s">
        <x:v>133</x:v>
      </x:c>
      <x:c r="D60" s="1" t="s">
        <x:v>149</x:v>
      </x:c>
      <x:c r="E60" s="1" t="s">
        <x:v>105</x:v>
      </x:c>
      <x:c r="F60" s="1" t="s">
        <x:v>97</x:v>
      </x:c>
      <x:c r="G60" s="1" t="s">
        <x:v>164</x:v>
      </x:c>
      <x:c r="H60" s="1">
        <x:v>46337</x:v>
      </x:c>
      <x:c r="I60" s="1">
        <x:v>46337</x:v>
      </x:c>
      <x:c r="J60" s="1" t="s">
        <x:v>177</x:v>
      </x:c>
      <x:c r="K60" s="1">
        <x:v>176000</x:v>
      </x:c>
      <x:c r="L60" s="1">
        <x:v>0</x:v>
      </x:c>
      <x:c r="M60" s="1">
        <x:v>2</x:v>
      </x:c>
      <x:c r="N60" s="1">
        <x:v>20</x:v>
      </x:c>
      <x:c r="O60" s="14">
        <x:v>0.94999999999999996</x:v>
      </x:c>
      <x:c r="P60" s="1" t="s">
        <x:v>143</x:v>
      </x:c>
      <x:c r="Q60" s="5" t="s">
        <x:v>202</x:v>
      </x:c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</x:row>
    <x:row r="61" spans="1:52" s="2" customFormat="1">
      <x:c r="A61" s="1" t="s">
        <x:v>285</x:v>
      </x:c>
      <x:c r="B61" s="1" t="s">
        <x:v>35</x:v>
      </x:c>
      <x:c r="C61" s="1" t="s">
        <x:v>133</x:v>
      </x:c>
      <x:c r="D61" s="1" t="s">
        <x:v>149</x:v>
      </x:c>
      <x:c r="E61" s="1" t="s">
        <x:v>105</x:v>
      </x:c>
      <x:c r="F61" s="1" t="s">
        <x:v>97</x:v>
      </x:c>
      <x:c r="G61" s="1" t="s">
        <x:v>164</x:v>
      </x:c>
      <x:c r="H61" s="1">
        <x:v>46338</x:v>
      </x:c>
      <x:c r="I61" s="1">
        <x:v>46338</x:v>
      </x:c>
      <x:c r="J61" s="1" t="s">
        <x:v>177</x:v>
      </x:c>
      <x:c r="K61" s="1">
        <x:v>132000</x:v>
      </x:c>
      <x:c r="L61" s="1">
        <x:v>0</x:v>
      </x:c>
      <x:c r="M61" s="1">
        <x:v>2</x:v>
      </x:c>
      <x:c r="N61" s="1">
        <x:v>20</x:v>
      </x:c>
      <x:c r="O61" s="14">
        <x:v>0.96999999999999997</x:v>
      </x:c>
      <x:c r="P61" s="1" t="s">
        <x:v>143</x:v>
      </x:c>
      <x:c r="Q61" s="5" t="s">
        <x:v>202</x:v>
      </x:c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</x:row>
    <x:row r="62" spans="1:52" s="2" customFormat="1">
      <x:c r="A62" s="1" t="s">
        <x:v>351</x:v>
      </x:c>
      <x:c r="B62" s="11" t="s">
        <x:v>355</x:v>
      </x:c>
      <x:c r="C62" s="11" t="s">
        <x:v>133</x:v>
      </x:c>
      <x:c r="D62" s="5" t="s">
        <x:v>34</x:v>
      </x:c>
      <x:c r="E62" s="5" t="s">
        <x:v>14</x:v>
      </x:c>
      <x:c r="F62" s="1" t="s">
        <x:v>97</x:v>
      </x:c>
      <x:c r="G62" s="1" t="s">
        <x:v>164</x:v>
      </x:c>
      <x:c r="H62" s="1">
        <x:v>46340</x:v>
      </x:c>
      <x:c r="I62" s="1">
        <x:v>46340</x:v>
      </x:c>
      <x:c r="J62" s="1" t="s">
        <x:v>177</x:v>
      </x:c>
      <x:c r="K62" s="13">
        <x:v>0</x:v>
      </x:c>
      <x:c r="L62" s="13">
        <x:v>0</x:v>
      </x:c>
      <x:c r="M62" s="5">
        <x:v>4</x:v>
      </x:c>
      <x:c r="N62" s="5">
        <x:v>13</x:v>
      </x:c>
      <x:c r="O62" s="14">
        <x:v>0.93000000000000005</x:v>
      </x:c>
      <x:c r="P62" s="5" t="s">
        <x:v>34</x:v>
      </x:c>
      <x:c r="Q62" s="5" t="s">
        <x:v>202</x:v>
      </x:c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</x:row>
    <x:row r="63" spans="1:52" s="2" customFormat="1">
      <x:c r="A63" s="1" t="s">
        <x:v>301</x:v>
      </x:c>
      <x:c r="B63" s="11" t="s">
        <x:v>272</x:v>
      </x:c>
      <x:c r="C63" s="11" t="s">
        <x:v>133</x:v>
      </x:c>
      <x:c r="D63" s="5" t="s">
        <x:v>34</x:v>
      </x:c>
      <x:c r="E63" s="5" t="s">
        <x:v>14</x:v>
      </x:c>
      <x:c r="F63" s="1" t="s">
        <x:v>97</x:v>
      </x:c>
      <x:c r="G63" s="1" t="s">
        <x:v>164</x:v>
      </x:c>
      <x:c r="H63" s="1">
        <x:v>46347</x:v>
      </x:c>
      <x:c r="I63" s="1">
        <x:v>46347</x:v>
      </x:c>
      <x:c r="J63" s="1" t="s">
        <x:v>177</x:v>
      </x:c>
      <x:c r="K63" s="13">
        <x:v>0</x:v>
      </x:c>
      <x:c r="L63" s="13">
        <x:v>0</x:v>
      </x:c>
      <x:c r="M63" s="5">
        <x:v>4</x:v>
      </x:c>
      <x:c r="N63" s="5">
        <x:v>13</x:v>
      </x:c>
      <x:c r="O63" s="14">
        <x:v>0.95999999999999996</x:v>
      </x:c>
      <x:c r="P63" s="5" t="s">
        <x:v>34</x:v>
      </x:c>
      <x:c r="Q63" s="5" t="s">
        <x:v>202</x:v>
      </x:c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</x:row>
    <x:row r="64" spans="1:52" s="2" customFormat="1">
      <x:c r="A64" s="1" t="s">
        <x:v>356</x:v>
      </x:c>
      <x:c r="B64" s="1" t="s">
        <x:v>28</x:v>
      </x:c>
      <x:c r="C64" s="1" t="s">
        <x:v>133</x:v>
      </x:c>
      <x:c r="D64" s="1" t="s">
        <x:v>149</x:v>
      </x:c>
      <x:c r="E64" s="1" t="s">
        <x:v>105</x:v>
      </x:c>
      <x:c r="F64" s="1" t="s">
        <x:v>97</x:v>
      </x:c>
      <x:c r="G64" s="1" t="s">
        <x:v>164</x:v>
      </x:c>
      <x:c r="H64" s="1">
        <x:v>46351</x:v>
      </x:c>
      <x:c r="I64" s="1">
        <x:v>46351</x:v>
      </x:c>
      <x:c r="J64" s="1" t="s">
        <x:v>177</x:v>
      </x:c>
      <x:c r="K64" s="1">
        <x:v>132000</x:v>
      </x:c>
      <x:c r="L64" s="1">
        <x:v>0</x:v>
      </x:c>
      <x:c r="M64" s="1">
        <x:v>2</x:v>
      </x:c>
      <x:c r="N64" s="1">
        <x:v>20</x:v>
      </x:c>
      <x:c r="O64" s="14">
        <x:v>1</x:v>
      </x:c>
      <x:c r="P64" s="1" t="s">
        <x:v>143</x:v>
      </x:c>
      <x:c r="Q64" s="5" t="s">
        <x:v>202</x:v>
      </x:c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</x:row>
    <x:row r="65" spans="1:52" s="2" customFormat="1">
      <x:c r="A65" s="1" t="s">
        <x:v>268</x:v>
      </x:c>
      <x:c r="B65" s="11" t="s">
        <x:v>274</x:v>
      </x:c>
      <x:c r="C65" s="11" t="s">
        <x:v>133</x:v>
      </x:c>
      <x:c r="D65" s="5" t="s">
        <x:v>34</x:v>
      </x:c>
      <x:c r="E65" s="5" t="s">
        <x:v>14</x:v>
      </x:c>
      <x:c r="F65" s="1" t="s">
        <x:v>97</x:v>
      </x:c>
      <x:c r="G65" s="1" t="s">
        <x:v>164</x:v>
      </x:c>
      <x:c r="H65" s="1">
        <x:v>46354</x:v>
      </x:c>
      <x:c r="I65" s="1">
        <x:v>46354</x:v>
      </x:c>
      <x:c r="J65" s="1" t="s">
        <x:v>177</x:v>
      </x:c>
      <x:c r="K65" s="13">
        <x:v>0</x:v>
      </x:c>
      <x:c r="L65" s="13">
        <x:v>0</x:v>
      </x:c>
      <x:c r="M65" s="5">
        <x:v>4</x:v>
      </x:c>
      <x:c r="N65" s="5">
        <x:v>13</x:v>
      </x:c>
      <x:c r="O65" s="14">
        <x:v>1</x:v>
      </x:c>
      <x:c r="P65" s="5" t="s">
        <x:v>34</x:v>
      </x:c>
      <x:c r="Q65" s="5" t="s">
        <x:v>202</x:v>
      </x:c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</x:row>
    <x:row r="66" spans="1:52">
      <x:c r="A66" s="11"/>
      <x:c r="B66" s="11"/>
      <x:c r="C66" s="11"/>
      <x:c r="D66" s="5"/>
      <x:c r="E66" s="5"/>
      <x:c r="F66" s="1"/>
      <x:c r="G66" s="1"/>
      <x:c r="H66" s="1"/>
      <x:c r="I66" s="1"/>
      <x:c r="J66" s="11"/>
      <x:c r="K66" s="13"/>
      <x:c r="L66" s="13"/>
      <x:c r="M66" s="5"/>
      <x:c r="N66" s="5"/>
      <x:c r="O66" s="14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</x:row>
    <x:row r="67" spans="1:52">
      <x:c r="A67" s="11"/>
      <x:c r="B67" s="11"/>
      <x:c r="C67" s="11"/>
      <x:c r="D67" s="5"/>
      <x:c r="E67" s="5"/>
      <x:c r="F67" s="1"/>
      <x:c r="G67" s="1"/>
      <x:c r="H67" s="12"/>
      <x:c r="I67" s="12"/>
      <x:c r="J67" s="11"/>
      <x:c r="K67" s="13"/>
      <x:c r="L67" s="13"/>
      <x:c r="M67" s="5"/>
      <x:c r="N67" s="5"/>
      <x:c r="O67" s="14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</x:row>
    <x:row r="68" spans="1:52">
      <x:c r="A68" s="11"/>
      <x:c r="B68" s="11"/>
      <x:c r="C68" s="11"/>
      <x:c r="D68" s="5"/>
      <x:c r="E68" s="5"/>
      <x:c r="F68" s="1"/>
      <x:c r="G68" s="1"/>
      <x:c r="H68" s="12"/>
      <x:c r="I68" s="12"/>
      <x:c r="J68" s="11"/>
      <x:c r="K68" s="13"/>
      <x:c r="L68" s="13"/>
      <x:c r="M68" s="5"/>
      <x:c r="N68" s="5"/>
      <x:c r="O68" s="14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</x:row>
    <x:row r="69" spans="1:52">
      <x:c r="A69" s="11"/>
      <x:c r="B69" s="11"/>
      <x:c r="C69" s="11"/>
      <x:c r="D69" s="5"/>
      <x:c r="E69" s="5"/>
      <x:c r="F69" s="1"/>
      <x:c r="G69" s="1"/>
      <x:c r="H69" s="12"/>
      <x:c r="I69" s="12"/>
      <x:c r="J69" s="11"/>
      <x:c r="K69" s="13"/>
      <x:c r="L69" s="13"/>
      <x:c r="M69" s="5"/>
      <x:c r="N69" s="5"/>
      <x:c r="O69" s="14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</x:row>
    <x:row r="70" spans="1:52">
      <x:c r="A70" s="11"/>
      <x:c r="B70" s="11"/>
      <x:c r="C70" s="11"/>
      <x:c r="D70" s="5"/>
      <x:c r="E70" s="5"/>
      <x:c r="F70" s="1"/>
      <x:c r="G70" s="1"/>
      <x:c r="H70" s="12"/>
      <x:c r="I70" s="12"/>
      <x:c r="J70" s="11"/>
      <x:c r="K70" s="13"/>
      <x:c r="L70" s="13"/>
      <x:c r="M70" s="5"/>
      <x:c r="N70" s="5"/>
      <x:c r="O70" s="14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</x:row>
    <x:row r="71" spans="1:52">
      <x:c r="A71" s="11"/>
      <x:c r="B71" s="11"/>
      <x:c r="C71" s="11"/>
      <x:c r="D71" s="5"/>
      <x:c r="E71" s="5"/>
      <x:c r="F71" s="1"/>
      <x:c r="G71" s="1"/>
      <x:c r="H71" s="12"/>
      <x:c r="I71" s="12"/>
      <x:c r="J71" s="11"/>
      <x:c r="K71" s="13"/>
      <x:c r="L71" s="13"/>
      <x:c r="M71" s="5"/>
      <x:c r="N71" s="5"/>
      <x:c r="O71" s="14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</x:row>
    <x:row r="72" spans="1:52">
      <x:c r="A72" s="11"/>
      <x:c r="B72" s="11"/>
      <x:c r="C72" s="11"/>
      <x:c r="D72" s="5"/>
      <x:c r="E72" s="5"/>
      <x:c r="F72" s="1"/>
      <x:c r="G72" s="1"/>
      <x:c r="H72" s="12"/>
      <x:c r="I72" s="12"/>
      <x:c r="J72" s="11"/>
      <x:c r="K72" s="13"/>
      <x:c r="L72" s="13"/>
      <x:c r="M72" s="5"/>
      <x:c r="N72" s="5"/>
      <x:c r="O72" s="14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</x:row>
    <x:row r="73" spans="1:52">
      <x:c r="A73" s="11"/>
      <x:c r="B73" s="11"/>
      <x:c r="C73" s="11"/>
      <x:c r="D73" s="5"/>
      <x:c r="E73" s="5"/>
      <x:c r="F73" s="1"/>
      <x:c r="G73" s="1"/>
      <x:c r="H73" s="12"/>
      <x:c r="I73" s="12"/>
      <x:c r="J73" s="11"/>
      <x:c r="K73" s="13"/>
      <x:c r="L73" s="13"/>
      <x:c r="M73" s="5"/>
      <x:c r="N73" s="5"/>
      <x:c r="O73" s="14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</x:row>
    <x:row r="74" spans="1:52">
      <x:c r="A74" s="11"/>
      <x:c r="B74" s="11"/>
      <x:c r="C74" s="11"/>
      <x:c r="D74" s="5"/>
      <x:c r="E74" s="5"/>
      <x:c r="F74" s="1"/>
      <x:c r="G74" s="1"/>
      <x:c r="H74" s="12"/>
      <x:c r="I74" s="12"/>
      <x:c r="J74" s="11"/>
      <x:c r="K74" s="13"/>
      <x:c r="L74" s="13"/>
      <x:c r="M74" s="5"/>
      <x:c r="N74" s="5"/>
      <x:c r="O74" s="14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</x:row>
    <x:row r="75" spans="1:52">
      <x:c r="A75" s="11"/>
      <x:c r="B75" s="11"/>
      <x:c r="C75" s="11"/>
      <x:c r="D75" s="5"/>
      <x:c r="E75" s="5"/>
      <x:c r="F75" s="1"/>
      <x:c r="G75" s="1"/>
      <x:c r="H75" s="12"/>
      <x:c r="I75" s="12"/>
      <x:c r="J75" s="11"/>
      <x:c r="K75" s="13"/>
      <x:c r="L75" s="13"/>
      <x:c r="M75" s="5"/>
      <x:c r="N75" s="5"/>
      <x:c r="O75" s="14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</x:row>
    <x:row r="76" spans="1:52">
      <x:c r="A76" s="11"/>
      <x:c r="B76" s="11"/>
      <x:c r="C76" s="11"/>
      <x:c r="D76" s="5"/>
      <x:c r="E76" s="5"/>
      <x:c r="F76" s="1"/>
      <x:c r="G76" s="1"/>
      <x:c r="H76" s="12"/>
      <x:c r="I76" s="12"/>
      <x:c r="J76" s="11"/>
      <x:c r="K76" s="13"/>
      <x:c r="L76" s="13"/>
      <x:c r="M76" s="5"/>
      <x:c r="N76" s="5"/>
      <x:c r="O76" s="14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/>
      <x:c r="AS76" s="5"/>
      <x:c r="AT76" s="5"/>
      <x:c r="AU76" s="5"/>
      <x:c r="AV76" s="5"/>
      <x:c r="AW76" s="5"/>
      <x:c r="AX76" s="5"/>
      <x:c r="AY76" s="5"/>
      <x:c r="AZ76" s="5"/>
    </x:row>
    <x:row r="77" spans="1:52">
      <x:c r="A77" s="11"/>
      <x:c r="B77" s="11"/>
      <x:c r="C77" s="11"/>
      <x:c r="D77" s="5"/>
      <x:c r="E77" s="5"/>
      <x:c r="F77" s="1"/>
      <x:c r="G77" s="1"/>
      <x:c r="H77" s="12"/>
      <x:c r="I77" s="12"/>
      <x:c r="J77" s="11"/>
      <x:c r="K77" s="13"/>
      <x:c r="L77" s="13"/>
      <x:c r="M77" s="5"/>
      <x:c r="N77" s="5"/>
      <x:c r="O77" s="14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</x:row>
    <x:row r="78" spans="1:52">
      <x:c r="A78" s="11"/>
      <x:c r="B78" s="11"/>
      <x:c r="C78" s="11"/>
      <x:c r="D78" s="5"/>
      <x:c r="E78" s="5"/>
      <x:c r="F78" s="1"/>
      <x:c r="G78" s="1"/>
      <x:c r="H78" s="12"/>
      <x:c r="I78" s="12"/>
      <x:c r="J78" s="11"/>
      <x:c r="K78" s="13"/>
      <x:c r="L78" s="13"/>
      <x:c r="M78" s="5"/>
      <x:c r="N78" s="5"/>
      <x:c r="O78" s="14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</x:row>
    <x:row r="79" spans="1:52">
      <x:c r="A79" s="11"/>
      <x:c r="B79" s="11"/>
      <x:c r="C79" s="11"/>
      <x:c r="D79" s="5"/>
      <x:c r="E79" s="5"/>
      <x:c r="F79" s="1"/>
      <x:c r="G79" s="1"/>
      <x:c r="H79" s="12"/>
      <x:c r="I79" s="12"/>
      <x:c r="J79" s="11"/>
      <x:c r="K79" s="13"/>
      <x:c r="L79" s="13"/>
      <x:c r="M79" s="5"/>
      <x:c r="N79" s="5"/>
      <x:c r="O79" s="14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</x:row>
    <x:row r="80" spans="1:52">
      <x:c r="A80" s="11"/>
      <x:c r="B80" s="11"/>
      <x:c r="C80" s="11"/>
      <x:c r="D80" s="5"/>
      <x:c r="E80" s="5"/>
      <x:c r="F80" s="1"/>
      <x:c r="G80" s="1"/>
      <x:c r="H80" s="12"/>
      <x:c r="I80" s="12"/>
      <x:c r="J80" s="11"/>
      <x:c r="K80" s="13"/>
      <x:c r="L80" s="13"/>
      <x:c r="M80" s="5"/>
      <x:c r="N80" s="5"/>
      <x:c r="O80" s="14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  <x:c r="AQ80" s="5"/>
      <x:c r="AR80" s="5"/>
      <x:c r="AS80" s="5"/>
      <x:c r="AT80" s="5"/>
      <x:c r="AU80" s="5"/>
      <x:c r="AV80" s="5"/>
      <x:c r="AW80" s="5"/>
      <x:c r="AX80" s="5"/>
      <x:c r="AY80" s="5"/>
      <x:c r="AZ80" s="5"/>
    </x:row>
    <x:row r="81" spans="1:52">
      <x:c r="A81" s="11"/>
      <x:c r="B81" s="11"/>
      <x:c r="C81" s="11"/>
      <x:c r="D81" s="5"/>
      <x:c r="E81" s="5"/>
      <x:c r="F81" s="1"/>
      <x:c r="G81" s="1"/>
      <x:c r="H81" s="12"/>
      <x:c r="I81" s="12"/>
      <x:c r="J81" s="11"/>
      <x:c r="K81" s="13"/>
      <x:c r="L81" s="13"/>
      <x:c r="M81" s="5"/>
      <x:c r="N81" s="5"/>
      <x:c r="O81" s="14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/>
    </x:row>
    <x:row r="82" spans="1:52">
      <x:c r="A82" s="11"/>
      <x:c r="B82" s="11"/>
      <x:c r="C82" s="11"/>
      <x:c r="D82" s="5"/>
      <x:c r="E82" s="5"/>
      <x:c r="F82" s="1"/>
      <x:c r="G82" s="1"/>
      <x:c r="H82" s="12"/>
      <x:c r="I82" s="12"/>
      <x:c r="J82" s="11"/>
      <x:c r="K82" s="13"/>
      <x:c r="L82" s="13"/>
      <x:c r="M82" s="5"/>
      <x:c r="N82" s="5"/>
      <x:c r="O82" s="14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</x:row>
    <x:row r="83" spans="1:52">
      <x:c r="A83" s="11"/>
      <x:c r="B83" s="11"/>
      <x:c r="C83" s="11"/>
      <x:c r="D83" s="5"/>
      <x:c r="E83" s="5"/>
      <x:c r="F83" s="1"/>
      <x:c r="G83" s="1"/>
      <x:c r="H83" s="12"/>
      <x:c r="I83" s="12"/>
      <x:c r="J83" s="11"/>
      <x:c r="K83" s="13"/>
      <x:c r="L83" s="13"/>
      <x:c r="M83" s="5"/>
      <x:c r="N83" s="5"/>
      <x:c r="O83" s="14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  <x:c r="AQ83" s="5"/>
      <x:c r="AR83" s="5"/>
      <x:c r="AS83" s="5"/>
      <x:c r="AT83" s="5"/>
      <x:c r="AU83" s="5"/>
      <x:c r="AV83" s="5"/>
      <x:c r="AW83" s="5"/>
      <x:c r="AX83" s="5"/>
      <x:c r="AY83" s="5"/>
      <x:c r="AZ83" s="5"/>
    </x:row>
    <x:row r="84" spans="1:52">
      <x:c r="A84" s="11"/>
      <x:c r="B84" s="11"/>
      <x:c r="C84" s="11"/>
      <x:c r="D84" s="5"/>
      <x:c r="E84" s="5"/>
      <x:c r="F84" s="1"/>
      <x:c r="G84" s="1"/>
      <x:c r="H84" s="12"/>
      <x:c r="I84" s="12"/>
      <x:c r="J84" s="11"/>
      <x:c r="K84" s="13"/>
      <x:c r="L84" s="13"/>
      <x:c r="M84" s="5"/>
      <x:c r="N84" s="5"/>
      <x:c r="O84" s="14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</x:row>
    <x:row r="85" spans="1:52">
      <x:c r="A85" s="11"/>
      <x:c r="B85" s="11"/>
      <x:c r="C85" s="11"/>
      <x:c r="D85" s="5"/>
      <x:c r="E85" s="5"/>
      <x:c r="F85" s="1"/>
      <x:c r="G85" s="1"/>
      <x:c r="H85" s="12"/>
      <x:c r="I85" s="12"/>
      <x:c r="J85" s="11"/>
      <x:c r="K85" s="13"/>
      <x:c r="L85" s="13"/>
      <x:c r="M85" s="5"/>
      <x:c r="N85" s="5"/>
      <x:c r="O85" s="14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</x:row>
    <x:row r="86" spans="1:52">
      <x:c r="A86" s="11"/>
      <x:c r="B86" s="11"/>
      <x:c r="C86" s="11"/>
      <x:c r="D86" s="5"/>
      <x:c r="E86" s="5"/>
      <x:c r="F86" s="1"/>
      <x:c r="G86" s="1"/>
      <x:c r="H86" s="12"/>
      <x:c r="I86" s="12"/>
      <x:c r="J86" s="11"/>
      <x:c r="K86" s="13"/>
      <x:c r="L86" s="13"/>
      <x:c r="M86" s="5"/>
      <x:c r="N86" s="5"/>
      <x:c r="O86" s="14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</x:row>
    <x:row r="87" spans="1:52">
      <x:c r="A87" s="11"/>
      <x:c r="B87" s="11"/>
      <x:c r="C87" s="11"/>
      <x:c r="D87" s="5"/>
      <x:c r="E87" s="5"/>
      <x:c r="F87" s="1"/>
      <x:c r="G87" s="1"/>
      <x:c r="H87" s="12"/>
      <x:c r="I87" s="12"/>
      <x:c r="J87" s="11"/>
      <x:c r="K87" s="13"/>
      <x:c r="L87" s="13"/>
      <x:c r="M87" s="5"/>
      <x:c r="N87" s="5"/>
      <x:c r="O87" s="14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</x:row>
    <x:row r="88" spans="1:52">
      <x:c r="A88" s="11"/>
      <x:c r="B88" s="11"/>
      <x:c r="C88" s="11"/>
      <x:c r="D88" s="5"/>
      <x:c r="E88" s="5"/>
      <x:c r="F88" s="1"/>
      <x:c r="G88" s="1"/>
      <x:c r="H88" s="12"/>
      <x:c r="I88" s="12"/>
      <x:c r="J88" s="11"/>
      <x:c r="K88" s="13"/>
      <x:c r="L88" s="13"/>
      <x:c r="M88" s="5"/>
      <x:c r="N88" s="5"/>
      <x:c r="O88" s="14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</x:row>
    <x:row r="89" spans="1:52">
      <x:c r="A89" s="11"/>
      <x:c r="B89" s="11"/>
      <x:c r="C89" s="11"/>
      <x:c r="D89" s="5"/>
      <x:c r="E89" s="5"/>
      <x:c r="F89" s="1"/>
      <x:c r="G89" s="1"/>
      <x:c r="H89" s="12"/>
      <x:c r="I89" s="12"/>
      <x:c r="J89" s="11"/>
      <x:c r="K89" s="13"/>
      <x:c r="L89" s="13"/>
      <x:c r="M89" s="5"/>
      <x:c r="N89" s="5"/>
      <x:c r="O89" s="14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</x:row>
    <x:row r="90" spans="1:52">
      <x:c r="A90" s="11"/>
      <x:c r="B90" s="11"/>
      <x:c r="C90" s="11"/>
      <x:c r="D90" s="5"/>
      <x:c r="E90" s="5"/>
      <x:c r="F90" s="1"/>
      <x:c r="G90" s="1"/>
      <x:c r="H90" s="12"/>
      <x:c r="I90" s="12"/>
      <x:c r="J90" s="11"/>
      <x:c r="K90" s="13"/>
      <x:c r="L90" s="13"/>
      <x:c r="M90" s="5"/>
      <x:c r="N90" s="5"/>
      <x:c r="O90" s="14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</x:row>
    <x:row r="91" spans="1:52">
      <x:c r="A91" s="11"/>
      <x:c r="B91" s="11"/>
      <x:c r="C91" s="11"/>
      <x:c r="D91" s="5"/>
      <x:c r="E91" s="5"/>
      <x:c r="F91" s="1"/>
      <x:c r="G91" s="1"/>
      <x:c r="H91" s="12"/>
      <x:c r="I91" s="12"/>
      <x:c r="J91" s="11"/>
      <x:c r="K91" s="13"/>
      <x:c r="L91" s="13"/>
      <x:c r="M91" s="5"/>
      <x:c r="N91" s="5"/>
      <x:c r="O91" s="14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</x:row>
    <x:row r="92" spans="1:52">
      <x:c r="A92" s="11"/>
      <x:c r="B92" s="11"/>
      <x:c r="C92" s="11"/>
      <x:c r="D92" s="5"/>
      <x:c r="E92" s="5"/>
      <x:c r="F92" s="1"/>
      <x:c r="G92" s="1"/>
      <x:c r="H92" s="12"/>
      <x:c r="I92" s="12"/>
      <x:c r="J92" s="11"/>
      <x:c r="K92" s="13"/>
      <x:c r="L92" s="13"/>
      <x:c r="M92" s="5"/>
      <x:c r="N92" s="5"/>
      <x:c r="O92" s="14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</x:row>
    <x:row r="93" spans="1:52">
      <x:c r="A93" s="11"/>
      <x:c r="B93" s="11"/>
      <x:c r="C93" s="11"/>
      <x:c r="D93" s="5"/>
      <x:c r="E93" s="5"/>
      <x:c r="F93" s="1"/>
      <x:c r="G93" s="1"/>
      <x:c r="H93" s="12"/>
      <x:c r="I93" s="12"/>
      <x:c r="J93" s="11"/>
      <x:c r="K93" s="13"/>
      <x:c r="L93" s="13"/>
      <x:c r="M93" s="5"/>
      <x:c r="N93" s="5"/>
      <x:c r="O93" s="14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</x:row>
    <x:row r="94" spans="1:52">
      <x:c r="A94" s="11"/>
      <x:c r="B94" s="11"/>
      <x:c r="C94" s="11"/>
      <x:c r="D94" s="5"/>
      <x:c r="E94" s="5"/>
      <x:c r="F94" s="1"/>
      <x:c r="G94" s="1"/>
      <x:c r="H94" s="12"/>
      <x:c r="I94" s="12"/>
      <x:c r="J94" s="11"/>
      <x:c r="K94" s="13"/>
      <x:c r="L94" s="13"/>
      <x:c r="M94" s="5"/>
      <x:c r="N94" s="5"/>
      <x:c r="O94" s="14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</x:row>
    <x:row r="95" spans="1:52">
      <x:c r="A95" s="11"/>
      <x:c r="B95" s="11"/>
      <x:c r="C95" s="11"/>
      <x:c r="D95" s="5"/>
      <x:c r="E95" s="5"/>
      <x:c r="F95" s="1"/>
      <x:c r="G95" s="1"/>
      <x:c r="H95" s="12"/>
      <x:c r="I95" s="12"/>
      <x:c r="J95" s="11"/>
      <x:c r="K95" s="13"/>
      <x:c r="L95" s="13"/>
      <x:c r="M95" s="5"/>
      <x:c r="N95" s="5"/>
      <x:c r="O95" s="14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</x:row>
    <x:row r="96" spans="1:52">
      <x:c r="A96" s="11"/>
      <x:c r="B96" s="11"/>
      <x:c r="C96" s="11"/>
      <x:c r="D96" s="5"/>
      <x:c r="E96" s="5"/>
      <x:c r="F96" s="1"/>
      <x:c r="G96" s="1"/>
      <x:c r="H96" s="12"/>
      <x:c r="I96" s="12"/>
      <x:c r="J96" s="11"/>
      <x:c r="K96" s="13"/>
      <x:c r="L96" s="13"/>
      <x:c r="M96" s="5"/>
      <x:c r="N96" s="5"/>
      <x:c r="O96" s="14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</x:row>
    <x:row r="97" spans="1:52">
      <x:c r="A97" s="11"/>
      <x:c r="B97" s="11"/>
      <x:c r="C97" s="11"/>
      <x:c r="D97" s="5"/>
      <x:c r="E97" s="5"/>
      <x:c r="F97" s="1"/>
      <x:c r="G97" s="1"/>
      <x:c r="H97" s="12"/>
      <x:c r="I97" s="12"/>
      <x:c r="J97" s="11"/>
      <x:c r="K97" s="13"/>
      <x:c r="L97" s="13"/>
      <x:c r="M97" s="5"/>
      <x:c r="N97" s="5"/>
      <x:c r="O97" s="14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</x:row>
    <x:row r="98" spans="1:52">
      <x:c r="A98" s="11"/>
      <x:c r="B98" s="11"/>
      <x:c r="C98" s="11"/>
      <x:c r="D98" s="5"/>
      <x:c r="E98" s="5"/>
      <x:c r="F98" s="1"/>
      <x:c r="G98" s="1"/>
      <x:c r="H98" s="12"/>
      <x:c r="I98" s="12"/>
      <x:c r="J98" s="11"/>
      <x:c r="K98" s="13"/>
      <x:c r="L98" s="13"/>
      <x:c r="M98" s="5"/>
      <x:c r="N98" s="5"/>
      <x:c r="O98" s="14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</x:row>
    <x:row r="99" spans="1:52">
      <x:c r="A99" s="11"/>
      <x:c r="B99" s="11"/>
      <x:c r="C99" s="11"/>
      <x:c r="D99" s="5"/>
      <x:c r="E99" s="5"/>
      <x:c r="F99" s="1"/>
      <x:c r="G99" s="1"/>
      <x:c r="H99" s="12"/>
      <x:c r="I99" s="12"/>
      <x:c r="J99" s="11"/>
      <x:c r="K99" s="13"/>
      <x:c r="L99" s="13"/>
      <x:c r="M99" s="5"/>
      <x:c r="N99" s="5"/>
      <x:c r="O99" s="14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</x:row>
    <x:row r="100" spans="1:52">
      <x:c r="A100" s="11"/>
      <x:c r="B100" s="11"/>
      <x:c r="C100" s="11"/>
      <x:c r="D100" s="5"/>
      <x:c r="E100" s="5"/>
      <x:c r="F100" s="1"/>
      <x:c r="G100" s="1"/>
      <x:c r="H100" s="12"/>
      <x:c r="I100" s="12"/>
      <x:c r="J100" s="11"/>
      <x:c r="K100" s="13"/>
      <x:c r="L100" s="13"/>
      <x:c r="M100" s="5"/>
      <x:c r="N100" s="5"/>
      <x:c r="O100" s="14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</x:row>
    <x:row r="101" spans="1:52">
      <x:c r="A101" s="11"/>
      <x:c r="B101" s="11"/>
      <x:c r="C101" s="11"/>
      <x:c r="D101" s="5"/>
      <x:c r="E101" s="5"/>
      <x:c r="F101" s="1"/>
      <x:c r="G101" s="1"/>
      <x:c r="H101" s="12"/>
      <x:c r="I101" s="12"/>
      <x:c r="J101" s="11"/>
      <x:c r="K101" s="13"/>
      <x:c r="L101" s="13"/>
      <x:c r="M101" s="5"/>
      <x:c r="N101" s="5"/>
      <x:c r="O101" s="14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</x:row>
    <x:row r="102" spans="1:52">
      <x:c r="A102" s="11"/>
      <x:c r="B102" s="11"/>
      <x:c r="C102" s="11"/>
      <x:c r="D102" s="5"/>
      <x:c r="E102" s="5"/>
      <x:c r="F102" s="1"/>
      <x:c r="G102" s="1"/>
      <x:c r="H102" s="12"/>
      <x:c r="I102" s="12"/>
      <x:c r="J102" s="11"/>
      <x:c r="K102" s="13"/>
      <x:c r="L102" s="13"/>
      <x:c r="M102" s="5"/>
      <x:c r="N102" s="5"/>
      <x:c r="O102" s="14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</x:row>
    <x:row r="103" spans="1:52">
      <x:c r="A103" s="11"/>
      <x:c r="B103" s="11"/>
      <x:c r="C103" s="11"/>
      <x:c r="D103" s="5"/>
      <x:c r="E103" s="5"/>
      <x:c r="F103" s="1"/>
      <x:c r="G103" s="1"/>
      <x:c r="H103" s="12"/>
      <x:c r="I103" s="12"/>
      <x:c r="J103" s="11"/>
      <x:c r="K103" s="13"/>
      <x:c r="L103" s="13"/>
      <x:c r="M103" s="5"/>
      <x:c r="N103" s="5"/>
      <x:c r="O103" s="14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</x:row>
    <x:row r="104" spans="1:52">
      <x:c r="A104" s="11"/>
      <x:c r="B104" s="11"/>
      <x:c r="C104" s="11"/>
      <x:c r="D104" s="5"/>
      <x:c r="E104" s="5"/>
      <x:c r="F104" s="1"/>
      <x:c r="G104" s="1"/>
      <x:c r="H104" s="12"/>
      <x:c r="I104" s="12"/>
      <x:c r="J104" s="11"/>
      <x:c r="K104" s="13"/>
      <x:c r="L104" s="13"/>
      <x:c r="M104" s="5"/>
      <x:c r="N104" s="5"/>
      <x:c r="O104" s="14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</x:row>
    <x:row r="105" spans="1:52">
      <x:c r="A105" s="11"/>
      <x:c r="B105" s="11"/>
      <x:c r="C105" s="11"/>
      <x:c r="D105" s="5"/>
      <x:c r="E105" s="5"/>
      <x:c r="F105" s="1"/>
      <x:c r="G105" s="1"/>
      <x:c r="H105" s="12"/>
      <x:c r="I105" s="12"/>
      <x:c r="J105" s="11"/>
      <x:c r="K105" s="13"/>
      <x:c r="L105" s="13"/>
      <x:c r="M105" s="5"/>
      <x:c r="N105" s="5"/>
      <x:c r="O105" s="14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</x:row>
    <x:row r="106" spans="1:52">
      <x:c r="A106" s="11"/>
      <x:c r="B106" s="11"/>
      <x:c r="C106" s="11"/>
      <x:c r="D106" s="5"/>
      <x:c r="E106" s="5"/>
      <x:c r="F106" s="1"/>
      <x:c r="G106" s="1"/>
      <x:c r="H106" s="12"/>
      <x:c r="I106" s="12"/>
      <x:c r="J106" s="11"/>
      <x:c r="K106" s="13"/>
      <x:c r="L106" s="13"/>
      <x:c r="M106" s="5"/>
      <x:c r="N106" s="5"/>
      <x:c r="O106" s="14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</x:row>
    <x:row r="107" spans="1:52">
      <x:c r="A107" s="11"/>
      <x:c r="B107" s="11"/>
      <x:c r="C107" s="11"/>
      <x:c r="D107" s="5"/>
      <x:c r="E107" s="5"/>
      <x:c r="F107" s="1"/>
      <x:c r="G107" s="1"/>
      <x:c r="H107" s="12"/>
      <x:c r="I107" s="12"/>
      <x:c r="J107" s="11"/>
      <x:c r="K107" s="13"/>
      <x:c r="L107" s="13"/>
      <x:c r="M107" s="5"/>
      <x:c r="N107" s="5"/>
      <x:c r="O107" s="14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</x:row>
    <x:row r="108" spans="1:52">
      <x:c r="A108" s="11"/>
      <x:c r="B108" s="11"/>
      <x:c r="C108" s="11"/>
      <x:c r="D108" s="5"/>
      <x:c r="E108" s="5"/>
      <x:c r="F108" s="1"/>
      <x:c r="G108" s="1"/>
      <x:c r="H108" s="12"/>
      <x:c r="I108" s="12"/>
      <x:c r="J108" s="11"/>
      <x:c r="K108" s="13"/>
      <x:c r="L108" s="13"/>
      <x:c r="M108" s="5"/>
      <x:c r="N108" s="5"/>
      <x:c r="O108" s="14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</x:row>
    <x:row r="109" spans="1:52">
      <x:c r="A109" s="11"/>
      <x:c r="B109" s="11"/>
      <x:c r="C109" s="11"/>
      <x:c r="D109" s="5"/>
      <x:c r="E109" s="5"/>
      <x:c r="F109" s="1"/>
      <x:c r="G109" s="1"/>
      <x:c r="H109" s="12"/>
      <x:c r="I109" s="12"/>
      <x:c r="J109" s="11"/>
      <x:c r="K109" s="13"/>
      <x:c r="L109" s="13"/>
      <x:c r="M109" s="5"/>
      <x:c r="N109" s="5"/>
      <x:c r="O109" s="14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</x:row>
    <x:row r="110" spans="1:52">
      <x:c r="A110" s="11"/>
      <x:c r="B110" s="11"/>
      <x:c r="C110" s="11"/>
      <x:c r="D110" s="5"/>
      <x:c r="E110" s="5"/>
      <x:c r="F110" s="1"/>
      <x:c r="G110" s="1"/>
      <x:c r="H110" s="12"/>
      <x:c r="I110" s="12"/>
      <x:c r="J110" s="11"/>
      <x:c r="K110" s="13"/>
      <x:c r="L110" s="13"/>
      <x:c r="M110" s="5"/>
      <x:c r="N110" s="5"/>
      <x:c r="O110" s="14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</x:row>
    <x:row r="111" spans="1:52">
      <x:c r="A111" s="11"/>
      <x:c r="B111" s="11"/>
      <x:c r="C111" s="11"/>
      <x:c r="D111" s="5"/>
      <x:c r="E111" s="5"/>
      <x:c r="F111" s="1"/>
      <x:c r="G111" s="1"/>
      <x:c r="H111" s="12"/>
      <x:c r="I111" s="12"/>
      <x:c r="J111" s="11"/>
      <x:c r="K111" s="13"/>
      <x:c r="L111" s="13"/>
      <x:c r="M111" s="5"/>
      <x:c r="N111" s="5"/>
      <x:c r="O111" s="14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</x:row>
    <x:row r="112" spans="1:52">
      <x:c r="A112" s="11"/>
      <x:c r="B112" s="11"/>
      <x:c r="C112" s="11"/>
      <x:c r="D112" s="5"/>
      <x:c r="E112" s="5"/>
      <x:c r="F112" s="1"/>
      <x:c r="G112" s="1"/>
      <x:c r="H112" s="12"/>
      <x:c r="I112" s="12"/>
      <x:c r="J112" s="11"/>
      <x:c r="K112" s="13"/>
      <x:c r="L112" s="13"/>
      <x:c r="M112" s="5"/>
      <x:c r="N112" s="5"/>
      <x:c r="O112" s="14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</x:row>
    <x:row r="113" spans="1:52">
      <x:c r="A113" s="11"/>
      <x:c r="B113" s="11"/>
      <x:c r="C113" s="11"/>
      <x:c r="D113" s="5"/>
      <x:c r="E113" s="5"/>
      <x:c r="F113" s="1"/>
      <x:c r="G113" s="1"/>
      <x:c r="H113" s="12"/>
      <x:c r="I113" s="12"/>
      <x:c r="J113" s="11"/>
      <x:c r="K113" s="13"/>
      <x:c r="L113" s="13"/>
      <x:c r="M113" s="5"/>
      <x:c r="N113" s="5"/>
      <x:c r="O113" s="14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</x:row>
    <x:row r="114" spans="1:52">
      <x:c r="A114" s="11"/>
      <x:c r="B114" s="11"/>
      <x:c r="C114" s="11"/>
      <x:c r="D114" s="5"/>
      <x:c r="E114" s="5"/>
      <x:c r="F114" s="1"/>
      <x:c r="G114" s="1"/>
      <x:c r="H114" s="12"/>
      <x:c r="I114" s="12"/>
      <x:c r="J114" s="11"/>
      <x:c r="K114" s="13"/>
      <x:c r="L114" s="13"/>
      <x:c r="M114" s="5"/>
      <x:c r="N114" s="5"/>
      <x:c r="O114" s="14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</x:row>
    <x:row r="115" spans="1:52">
      <x:c r="A115" s="11"/>
      <x:c r="B115" s="11"/>
      <x:c r="C115" s="11"/>
      <x:c r="D115" s="5"/>
      <x:c r="E115" s="5"/>
      <x:c r="F115" s="1"/>
      <x:c r="G115" s="1"/>
      <x:c r="H115" s="12"/>
      <x:c r="I115" s="12"/>
      <x:c r="J115" s="11"/>
      <x:c r="K115" s="13"/>
      <x:c r="L115" s="13"/>
      <x:c r="M115" s="5"/>
      <x:c r="N115" s="5"/>
      <x:c r="O115" s="14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</x:row>
    <x:row r="116" spans="1:52">
      <x:c r="A116" s="11"/>
      <x:c r="B116" s="11"/>
      <x:c r="C116" s="11"/>
      <x:c r="D116" s="5"/>
      <x:c r="E116" s="5"/>
      <x:c r="F116" s="1"/>
      <x:c r="G116" s="1"/>
      <x:c r="H116" s="12"/>
      <x:c r="I116" s="12"/>
      <x:c r="J116" s="11"/>
      <x:c r="K116" s="13"/>
      <x:c r="L116" s="13"/>
      <x:c r="M116" s="5"/>
      <x:c r="N116" s="5"/>
      <x:c r="O116" s="14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</x:row>
    <x:row r="117" spans="1:52">
      <x:c r="A117" s="11"/>
      <x:c r="B117" s="11"/>
      <x:c r="C117" s="11"/>
      <x:c r="D117" s="5"/>
      <x:c r="E117" s="5"/>
      <x:c r="F117" s="1"/>
      <x:c r="G117" s="1"/>
      <x:c r="H117" s="12"/>
      <x:c r="I117" s="12"/>
      <x:c r="J117" s="11"/>
      <x:c r="K117" s="13"/>
      <x:c r="L117" s="13"/>
      <x:c r="M117" s="5"/>
      <x:c r="N117" s="5"/>
      <x:c r="O117" s="14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</x:row>
    <x:row r="118" spans="1:52">
      <x:c r="A118" s="11"/>
      <x:c r="B118" s="11"/>
      <x:c r="C118" s="11"/>
      <x:c r="D118" s="5"/>
      <x:c r="E118" s="5"/>
      <x:c r="F118" s="1"/>
      <x:c r="G118" s="1"/>
      <x:c r="H118" s="12"/>
      <x:c r="I118" s="12"/>
      <x:c r="J118" s="11"/>
      <x:c r="K118" s="13"/>
      <x:c r="L118" s="13"/>
      <x:c r="M118" s="5"/>
      <x:c r="N118" s="5"/>
      <x:c r="O118" s="14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</x:row>
    <x:row r="119" spans="1:52">
      <x:c r="A119" s="11"/>
      <x:c r="B119" s="11"/>
      <x:c r="C119" s="11"/>
      <x:c r="D119" s="5"/>
      <x:c r="E119" s="5"/>
      <x:c r="F119" s="1"/>
      <x:c r="G119" s="1"/>
      <x:c r="H119" s="12"/>
      <x:c r="I119" s="12"/>
      <x:c r="J119" s="11"/>
      <x:c r="K119" s="13"/>
      <x:c r="L119" s="13"/>
      <x:c r="M119" s="5"/>
      <x:c r="N119" s="5"/>
      <x:c r="O119" s="14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</x:row>
    <x:row r="120" spans="1:52">
      <x:c r="A120" s="11"/>
      <x:c r="B120" s="11"/>
      <x:c r="C120" s="11"/>
      <x:c r="D120" s="5"/>
      <x:c r="E120" s="5"/>
      <x:c r="F120" s="1"/>
      <x:c r="G120" s="1"/>
      <x:c r="H120" s="12"/>
      <x:c r="I120" s="12"/>
      <x:c r="J120" s="11"/>
      <x:c r="K120" s="13"/>
      <x:c r="L120" s="13"/>
      <x:c r="M120" s="5"/>
      <x:c r="N120" s="5"/>
      <x:c r="O120" s="14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</x:row>
    <x:row r="121" spans="1:52">
      <x:c r="A121" s="11"/>
      <x:c r="B121" s="11"/>
      <x:c r="C121" s="11"/>
      <x:c r="D121" s="5"/>
      <x:c r="E121" s="5"/>
      <x:c r="F121" s="1"/>
      <x:c r="G121" s="1"/>
      <x:c r="H121" s="12"/>
      <x:c r="I121" s="12"/>
      <x:c r="J121" s="11"/>
      <x:c r="K121" s="13"/>
      <x:c r="L121" s="13"/>
      <x:c r="M121" s="5"/>
      <x:c r="N121" s="5"/>
      <x:c r="O121" s="14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</x:row>
    <x:row r="122" spans="1:52">
      <x:c r="A122" s="11"/>
      <x:c r="B122" s="11"/>
      <x:c r="C122" s="11"/>
      <x:c r="D122" s="5"/>
      <x:c r="E122" s="5"/>
      <x:c r="F122" s="1"/>
      <x:c r="G122" s="1"/>
      <x:c r="H122" s="12"/>
      <x:c r="I122" s="12"/>
      <x:c r="J122" s="11"/>
      <x:c r="K122" s="13"/>
      <x:c r="L122" s="13"/>
      <x:c r="M122" s="5"/>
      <x:c r="N122" s="5"/>
      <x:c r="O122" s="14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</x:row>
    <x:row r="123" spans="1:52">
      <x:c r="A123" s="11"/>
      <x:c r="B123" s="11"/>
      <x:c r="C123" s="11"/>
      <x:c r="D123" s="5"/>
      <x:c r="E123" s="5"/>
      <x:c r="F123" s="1"/>
      <x:c r="G123" s="1"/>
      <x:c r="H123" s="12"/>
      <x:c r="I123" s="12"/>
      <x:c r="J123" s="11"/>
      <x:c r="K123" s="13"/>
      <x:c r="L123" s="13"/>
      <x:c r="M123" s="5"/>
      <x:c r="N123" s="5"/>
      <x:c r="O123" s="14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</x:row>
    <x:row r="124" spans="1:52">
      <x:c r="A124" s="11"/>
      <x:c r="B124" s="11"/>
      <x:c r="C124" s="11"/>
      <x:c r="D124" s="5"/>
      <x:c r="E124" s="5"/>
      <x:c r="F124" s="1"/>
      <x:c r="G124" s="1"/>
      <x:c r="H124" s="12"/>
      <x:c r="I124" s="12"/>
      <x:c r="J124" s="11"/>
      <x:c r="K124" s="13"/>
      <x:c r="L124" s="13"/>
      <x:c r="M124" s="5"/>
      <x:c r="N124" s="5"/>
      <x:c r="O124" s="14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</x:row>
    <x:row r="125" spans="1:52">
      <x:c r="A125" s="11"/>
      <x:c r="B125" s="11"/>
      <x:c r="C125" s="11"/>
      <x:c r="D125" s="5"/>
      <x:c r="E125" s="5"/>
      <x:c r="F125" s="1"/>
      <x:c r="G125" s="1"/>
      <x:c r="H125" s="12"/>
      <x:c r="I125" s="12"/>
      <x:c r="J125" s="11"/>
      <x:c r="K125" s="13"/>
      <x:c r="L125" s="13"/>
      <x:c r="M125" s="5"/>
      <x:c r="N125" s="5"/>
      <x:c r="O125" s="14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</x:row>
    <x:row r="126" spans="1:52">
      <x:c r="A126" s="11"/>
      <x:c r="B126" s="11"/>
      <x:c r="C126" s="11"/>
      <x:c r="D126" s="5"/>
      <x:c r="E126" s="5"/>
      <x:c r="F126" s="1"/>
      <x:c r="G126" s="1"/>
      <x:c r="H126" s="12"/>
      <x:c r="I126" s="12"/>
      <x:c r="J126" s="11"/>
      <x:c r="K126" s="13"/>
      <x:c r="L126" s="13"/>
      <x:c r="M126" s="5"/>
      <x:c r="N126" s="5"/>
      <x:c r="O126" s="14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</x:row>
    <x:row r="127" spans="1:52">
      <x:c r="A127" s="11"/>
      <x:c r="B127" s="11"/>
      <x:c r="C127" s="11"/>
      <x:c r="D127" s="5"/>
      <x:c r="E127" s="5"/>
      <x:c r="F127" s="1"/>
      <x:c r="G127" s="1"/>
      <x:c r="H127" s="12"/>
      <x:c r="I127" s="12"/>
      <x:c r="J127" s="11"/>
      <x:c r="K127" s="13"/>
      <x:c r="L127" s="13"/>
      <x:c r="M127" s="5"/>
      <x:c r="N127" s="5"/>
      <x:c r="O127" s="14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</x:row>
    <x:row r="128" spans="1:52">
      <x:c r="A128" s="11"/>
      <x:c r="B128" s="11"/>
      <x:c r="C128" s="11"/>
      <x:c r="D128" s="5"/>
      <x:c r="E128" s="5"/>
      <x:c r="F128" s="1"/>
      <x:c r="G128" s="1"/>
      <x:c r="H128" s="12"/>
      <x:c r="I128" s="12"/>
      <x:c r="J128" s="11"/>
      <x:c r="K128" s="13"/>
      <x:c r="L128" s="13"/>
      <x:c r="M128" s="5"/>
      <x:c r="N128" s="5"/>
      <x:c r="O128" s="14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</x:row>
    <x:row r="129" spans="1:52">
      <x:c r="A129" s="11"/>
      <x:c r="B129" s="11"/>
      <x:c r="C129" s="11"/>
      <x:c r="D129" s="5"/>
      <x:c r="E129" s="5"/>
      <x:c r="F129" s="1"/>
      <x:c r="G129" s="1"/>
      <x:c r="H129" s="12"/>
      <x:c r="I129" s="12"/>
      <x:c r="J129" s="11"/>
      <x:c r="K129" s="13"/>
      <x:c r="L129" s="13"/>
      <x:c r="M129" s="5"/>
      <x:c r="N129" s="5"/>
      <x:c r="O129" s="14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</x:row>
    <x:row r="130" spans="1:52">
      <x:c r="A130" s="11"/>
      <x:c r="B130" s="11"/>
      <x:c r="C130" s="11"/>
      <x:c r="D130" s="5"/>
      <x:c r="E130" s="5"/>
      <x:c r="F130" s="1"/>
      <x:c r="G130" s="1"/>
      <x:c r="H130" s="12"/>
      <x:c r="I130" s="12"/>
      <x:c r="J130" s="11"/>
      <x:c r="K130" s="13"/>
      <x:c r="L130" s="13"/>
      <x:c r="M130" s="5"/>
      <x:c r="N130" s="5"/>
      <x:c r="O130" s="14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</x:row>
    <x:row r="131" spans="1:52">
      <x:c r="A131" s="11"/>
      <x:c r="B131" s="11"/>
      <x:c r="C131" s="11"/>
      <x:c r="D131" s="5"/>
      <x:c r="E131" s="5"/>
      <x:c r="F131" s="1"/>
      <x:c r="G131" s="1"/>
      <x:c r="H131" s="12"/>
      <x:c r="I131" s="12"/>
      <x:c r="J131" s="11"/>
      <x:c r="K131" s="13"/>
      <x:c r="L131" s="13"/>
      <x:c r="M131" s="5"/>
      <x:c r="N131" s="5"/>
      <x:c r="O131" s="14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</x:row>
    <x:row r="132" spans="1:52">
      <x:c r="A132" s="11"/>
      <x:c r="B132" s="11"/>
      <x:c r="C132" s="11"/>
      <x:c r="D132" s="5"/>
      <x:c r="E132" s="5"/>
      <x:c r="F132" s="1"/>
      <x:c r="G132" s="1"/>
      <x:c r="H132" s="12"/>
      <x:c r="I132" s="12"/>
      <x:c r="J132" s="11"/>
      <x:c r="K132" s="13"/>
      <x:c r="L132" s="13"/>
      <x:c r="M132" s="5"/>
      <x:c r="N132" s="5"/>
      <x:c r="O132" s="14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</x:row>
    <x:row r="133" spans="1:52">
      <x:c r="A133" s="11"/>
      <x:c r="B133" s="11"/>
      <x:c r="C133" s="11"/>
      <x:c r="D133" s="5"/>
      <x:c r="E133" s="5"/>
      <x:c r="F133" s="1"/>
      <x:c r="G133" s="1"/>
      <x:c r="H133" s="12"/>
      <x:c r="I133" s="12"/>
      <x:c r="J133" s="11"/>
      <x:c r="K133" s="13"/>
      <x:c r="L133" s="13"/>
      <x:c r="M133" s="5"/>
      <x:c r="N133" s="5"/>
      <x:c r="O133" s="14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</x:row>
    <x:row r="134" spans="1:52">
      <x:c r="A134" s="11"/>
      <x:c r="B134" s="11"/>
      <x:c r="C134" s="11"/>
      <x:c r="D134" s="5"/>
      <x:c r="E134" s="5"/>
      <x:c r="F134" s="1"/>
      <x:c r="G134" s="1"/>
      <x:c r="H134" s="12"/>
      <x:c r="I134" s="12"/>
      <x:c r="J134" s="11"/>
      <x:c r="K134" s="13"/>
      <x:c r="L134" s="13"/>
      <x:c r="M134" s="5"/>
      <x:c r="N134" s="5"/>
      <x:c r="O134" s="14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</x:row>
    <x:row r="135" spans="1:52">
      <x:c r="A135" s="11"/>
      <x:c r="B135" s="11"/>
      <x:c r="C135" s="11"/>
      <x:c r="D135" s="5"/>
      <x:c r="E135" s="5"/>
      <x:c r="F135" s="1"/>
      <x:c r="G135" s="1"/>
      <x:c r="H135" s="12"/>
      <x:c r="I135" s="12"/>
      <x:c r="J135" s="11"/>
      <x:c r="K135" s="13"/>
      <x:c r="L135" s="13"/>
      <x:c r="M135" s="5"/>
      <x:c r="N135" s="5"/>
      <x:c r="O135" s="14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</x:row>
    <x:row r="136" spans="1:52">
      <x:c r="A136" s="11"/>
      <x:c r="B136" s="11"/>
      <x:c r="C136" s="11"/>
      <x:c r="D136" s="5"/>
      <x:c r="E136" s="5"/>
      <x:c r="F136" s="1"/>
      <x:c r="G136" s="1"/>
      <x:c r="H136" s="12"/>
      <x:c r="I136" s="12"/>
      <x:c r="J136" s="11"/>
      <x:c r="K136" s="13"/>
      <x:c r="L136" s="13"/>
      <x:c r="M136" s="5"/>
      <x:c r="N136" s="5"/>
      <x:c r="O136" s="14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</x:row>
    <x:row r="137" spans="1:52">
      <x:c r="A137" s="11"/>
      <x:c r="B137" s="11"/>
      <x:c r="C137" s="11"/>
      <x:c r="D137" s="5"/>
      <x:c r="E137" s="5"/>
      <x:c r="F137" s="1"/>
      <x:c r="G137" s="1"/>
      <x:c r="H137" s="12"/>
      <x:c r="I137" s="12"/>
      <x:c r="J137" s="11"/>
      <x:c r="K137" s="13"/>
      <x:c r="L137" s="13"/>
      <x:c r="M137" s="5"/>
      <x:c r="N137" s="5"/>
      <x:c r="O137" s="14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</x:row>
    <x:row r="138" spans="1:52">
      <x:c r="A138" s="11"/>
      <x:c r="B138" s="11"/>
      <x:c r="C138" s="11"/>
      <x:c r="D138" s="5"/>
      <x:c r="E138" s="5"/>
      <x:c r="F138" s="1"/>
      <x:c r="G138" s="1"/>
      <x:c r="H138" s="12"/>
      <x:c r="I138" s="12"/>
      <x:c r="J138" s="11"/>
      <x:c r="K138" s="13"/>
      <x:c r="L138" s="13"/>
      <x:c r="M138" s="5"/>
      <x:c r="N138" s="5"/>
      <x:c r="O138" s="14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</x:row>
    <x:row r="139" spans="1:52">
      <x:c r="A139" s="11"/>
      <x:c r="B139" s="11"/>
      <x:c r="C139" s="11"/>
      <x:c r="D139" s="5"/>
      <x:c r="E139" s="5"/>
      <x:c r="F139" s="1"/>
      <x:c r="G139" s="1"/>
      <x:c r="H139" s="12"/>
      <x:c r="I139" s="12"/>
      <x:c r="J139" s="11"/>
      <x:c r="K139" s="13"/>
      <x:c r="L139" s="13"/>
      <x:c r="M139" s="5"/>
      <x:c r="N139" s="5"/>
      <x:c r="O139" s="14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</x:row>
    <x:row r="140" spans="1:52">
      <x:c r="A140" s="11"/>
      <x:c r="B140" s="11"/>
      <x:c r="C140" s="11"/>
      <x:c r="D140" s="5"/>
      <x:c r="E140" s="5"/>
      <x:c r="F140" s="1"/>
      <x:c r="G140" s="1"/>
      <x:c r="H140" s="12"/>
      <x:c r="I140" s="12"/>
      <x:c r="J140" s="11"/>
      <x:c r="K140" s="13"/>
      <x:c r="L140" s="13"/>
      <x:c r="M140" s="5"/>
      <x:c r="N140" s="5"/>
      <x:c r="O140" s="14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</x:row>
    <x:row r="141" spans="1:52">
      <x:c r="A141" s="11"/>
      <x:c r="B141" s="11"/>
      <x:c r="C141" s="11"/>
      <x:c r="D141" s="5"/>
      <x:c r="E141" s="5"/>
      <x:c r="F141" s="1"/>
      <x:c r="G141" s="1"/>
      <x:c r="H141" s="12"/>
      <x:c r="I141" s="12"/>
      <x:c r="J141" s="11"/>
      <x:c r="K141" s="13"/>
      <x:c r="L141" s="13"/>
      <x:c r="M141" s="5"/>
      <x:c r="N141" s="5"/>
      <x:c r="O141" s="14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</x:row>
    <x:row r="142" spans="1:52">
      <x:c r="A142" s="11"/>
      <x:c r="B142" s="11"/>
      <x:c r="C142" s="11"/>
      <x:c r="D142" s="5"/>
      <x:c r="E142" s="5"/>
      <x:c r="F142" s="1"/>
      <x:c r="G142" s="1"/>
      <x:c r="H142" s="12"/>
      <x:c r="I142" s="12"/>
      <x:c r="J142" s="11"/>
      <x:c r="K142" s="13"/>
      <x:c r="L142" s="13"/>
      <x:c r="M142" s="5"/>
      <x:c r="N142" s="5"/>
      <x:c r="O142" s="14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</x:row>
    <x:row r="143" spans="1:52">
      <x:c r="A143" s="11"/>
      <x:c r="B143" s="11"/>
      <x:c r="C143" s="11"/>
      <x:c r="D143" s="5"/>
      <x:c r="E143" s="5"/>
      <x:c r="F143" s="1"/>
      <x:c r="G143" s="1"/>
      <x:c r="H143" s="12"/>
      <x:c r="I143" s="12"/>
      <x:c r="J143" s="11"/>
      <x:c r="K143" s="13"/>
      <x:c r="L143" s="13"/>
      <x:c r="M143" s="5"/>
      <x:c r="N143" s="5"/>
      <x:c r="O143" s="14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</x:row>
    <x:row r="144" spans="1:52">
      <x:c r="A144" s="11"/>
      <x:c r="B144" s="11"/>
      <x:c r="C144" s="11"/>
      <x:c r="D144" s="5"/>
      <x:c r="E144" s="5"/>
      <x:c r="F144" s="1"/>
      <x:c r="G144" s="1"/>
      <x:c r="H144" s="12"/>
      <x:c r="I144" s="12"/>
      <x:c r="J144" s="11"/>
      <x:c r="K144" s="13"/>
      <x:c r="L144" s="13"/>
      <x:c r="M144" s="5"/>
      <x:c r="N144" s="5"/>
      <x:c r="O144" s="14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  <x:c r="AQ144" s="5"/>
      <x:c r="AR144" s="5"/>
      <x:c r="AS144" s="5"/>
      <x:c r="AT144" s="5"/>
      <x:c r="AU144" s="5"/>
      <x:c r="AV144" s="5"/>
      <x:c r="AW144" s="5"/>
      <x:c r="AX144" s="5"/>
      <x:c r="AY144" s="5"/>
      <x:c r="AZ144" s="5"/>
    </x:row>
    <x:row r="145" spans="1:52">
      <x:c r="A145" s="11"/>
      <x:c r="B145" s="11"/>
      <x:c r="C145" s="11"/>
      <x:c r="D145" s="5"/>
      <x:c r="E145" s="5"/>
      <x:c r="F145" s="1"/>
      <x:c r="G145" s="1"/>
      <x:c r="H145" s="12"/>
      <x:c r="I145" s="12"/>
      <x:c r="J145" s="11"/>
      <x:c r="K145" s="13"/>
      <x:c r="L145" s="13"/>
      <x:c r="M145" s="5"/>
      <x:c r="N145" s="5"/>
      <x:c r="O145" s="14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</x:row>
    <x:row r="146" spans="1:52">
      <x:c r="A146" s="11"/>
      <x:c r="B146" s="11"/>
      <x:c r="C146" s="11"/>
      <x:c r="D146" s="5"/>
      <x:c r="E146" s="5"/>
      <x:c r="F146" s="1"/>
      <x:c r="G146" s="1"/>
      <x:c r="H146" s="12"/>
      <x:c r="I146" s="12"/>
      <x:c r="J146" s="11"/>
      <x:c r="K146" s="13"/>
      <x:c r="L146" s="13"/>
      <x:c r="M146" s="5"/>
      <x:c r="N146" s="5"/>
      <x:c r="O146" s="14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</x:row>
    <x:row r="147" spans="1:52">
      <x:c r="A147" s="11"/>
      <x:c r="B147" s="11"/>
      <x:c r="C147" s="11"/>
      <x:c r="D147" s="5"/>
      <x:c r="E147" s="5"/>
      <x:c r="F147" s="1"/>
      <x:c r="G147" s="1"/>
      <x:c r="H147" s="12"/>
      <x:c r="I147" s="12"/>
      <x:c r="J147" s="11"/>
      <x:c r="K147" s="13"/>
      <x:c r="L147" s="13"/>
      <x:c r="M147" s="5"/>
      <x:c r="N147" s="5"/>
      <x:c r="O147" s="14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</x:row>
    <x:row r="148" spans="1:52">
      <x:c r="A148" s="11"/>
      <x:c r="B148" s="11"/>
      <x:c r="C148" s="11"/>
      <x:c r="D148" s="5"/>
      <x:c r="E148" s="5"/>
      <x:c r="F148" s="1"/>
      <x:c r="G148" s="1"/>
      <x:c r="H148" s="12"/>
      <x:c r="I148" s="12"/>
      <x:c r="J148" s="11"/>
      <x:c r="K148" s="13"/>
      <x:c r="L148" s="13"/>
      <x:c r="M148" s="5"/>
      <x:c r="N148" s="5"/>
      <x:c r="O148" s="14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</x:row>
    <x:row r="149" spans="1:52">
      <x:c r="A149" s="11"/>
      <x:c r="B149" s="11"/>
      <x:c r="C149" s="11"/>
      <x:c r="D149" s="5"/>
      <x:c r="E149" s="5"/>
      <x:c r="F149" s="1"/>
      <x:c r="G149" s="1"/>
      <x:c r="H149" s="12"/>
      <x:c r="I149" s="12"/>
      <x:c r="J149" s="11"/>
      <x:c r="K149" s="13"/>
      <x:c r="L149" s="13"/>
      <x:c r="M149" s="5"/>
      <x:c r="N149" s="5"/>
      <x:c r="O149" s="14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</x:row>
    <x:row r="150" spans="1:52">
      <x:c r="A150" s="11"/>
      <x:c r="B150" s="11"/>
      <x:c r="C150" s="11"/>
      <x:c r="D150" s="5"/>
      <x:c r="E150" s="5"/>
      <x:c r="F150" s="1"/>
      <x:c r="G150" s="1"/>
      <x:c r="H150" s="12"/>
      <x:c r="I150" s="12"/>
      <x:c r="J150" s="11"/>
      <x:c r="K150" s="13"/>
      <x:c r="L150" s="13"/>
      <x:c r="M150" s="5"/>
      <x:c r="N150" s="5"/>
      <x:c r="O150" s="14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</x:row>
    <x:row r="151" spans="1:52">
      <x:c r="A151" s="11"/>
      <x:c r="B151" s="11"/>
      <x:c r="C151" s="11"/>
      <x:c r="D151" s="5"/>
      <x:c r="E151" s="5"/>
      <x:c r="F151" s="1"/>
      <x:c r="G151" s="1"/>
      <x:c r="H151" s="12"/>
      <x:c r="I151" s="12"/>
      <x:c r="J151" s="11"/>
      <x:c r="K151" s="13"/>
      <x:c r="L151" s="13"/>
      <x:c r="M151" s="5"/>
      <x:c r="N151" s="5"/>
      <x:c r="O151" s="14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</x:row>
    <x:row r="152" spans="1:52">
      <x:c r="A152" s="11"/>
      <x:c r="B152" s="11"/>
      <x:c r="C152" s="11"/>
      <x:c r="D152" s="5"/>
      <x:c r="E152" s="5"/>
      <x:c r="F152" s="1"/>
      <x:c r="G152" s="1"/>
      <x:c r="H152" s="12"/>
      <x:c r="I152" s="12"/>
      <x:c r="J152" s="11"/>
      <x:c r="K152" s="13"/>
      <x:c r="L152" s="13"/>
      <x:c r="M152" s="5"/>
      <x:c r="N152" s="5"/>
      <x:c r="O152" s="14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  <x:c r="AQ152" s="5"/>
      <x:c r="AR152" s="5"/>
      <x:c r="AS152" s="5"/>
      <x:c r="AT152" s="5"/>
      <x:c r="AU152" s="5"/>
      <x:c r="AV152" s="5"/>
      <x:c r="AW152" s="5"/>
      <x:c r="AX152" s="5"/>
      <x:c r="AY152" s="5"/>
      <x:c r="AZ152" s="5"/>
    </x:row>
    <x:row r="153" spans="1:52">
      <x:c r="A153" s="11"/>
      <x:c r="B153" s="11"/>
      <x:c r="C153" s="11"/>
      <x:c r="D153" s="5"/>
      <x:c r="E153" s="5"/>
      <x:c r="F153" s="1"/>
      <x:c r="G153" s="1"/>
      <x:c r="H153" s="12"/>
      <x:c r="I153" s="12"/>
      <x:c r="J153" s="11"/>
      <x:c r="K153" s="13"/>
      <x:c r="L153" s="13"/>
      <x:c r="M153" s="5"/>
      <x:c r="N153" s="5"/>
      <x:c r="O153" s="14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</x:row>
    <x:row r="154" spans="1:52">
      <x:c r="A154" s="11"/>
      <x:c r="B154" s="11"/>
      <x:c r="C154" s="11"/>
      <x:c r="D154" s="5"/>
      <x:c r="E154" s="5"/>
      <x:c r="F154" s="1"/>
      <x:c r="G154" s="1"/>
      <x:c r="H154" s="12"/>
      <x:c r="I154" s="12"/>
      <x:c r="J154" s="11"/>
      <x:c r="K154" s="13"/>
      <x:c r="L154" s="13"/>
      <x:c r="M154" s="5"/>
      <x:c r="N154" s="5"/>
      <x:c r="O154" s="14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</x:row>
    <x:row r="155" spans="1:52">
      <x:c r="A155" s="11"/>
      <x:c r="B155" s="11"/>
      <x:c r="C155" s="11"/>
      <x:c r="D155" s="5"/>
      <x:c r="E155" s="5"/>
      <x:c r="F155" s="1"/>
      <x:c r="G155" s="1"/>
      <x:c r="H155" s="12"/>
      <x:c r="I155" s="12"/>
      <x:c r="J155" s="11"/>
      <x:c r="K155" s="13"/>
      <x:c r="L155" s="13"/>
      <x:c r="M155" s="5"/>
      <x:c r="N155" s="5"/>
      <x:c r="O155" s="14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</x:row>
    <x:row r="156" spans="1:52">
      <x:c r="A156" s="11"/>
      <x:c r="B156" s="11"/>
      <x:c r="C156" s="11"/>
      <x:c r="D156" s="5"/>
      <x:c r="E156" s="5"/>
      <x:c r="F156" s="1"/>
      <x:c r="G156" s="1"/>
      <x:c r="H156" s="12"/>
      <x:c r="I156" s="12"/>
      <x:c r="J156" s="11"/>
      <x:c r="K156" s="13"/>
      <x:c r="L156" s="13"/>
      <x:c r="M156" s="5"/>
      <x:c r="N156" s="5"/>
      <x:c r="O156" s="14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</x:row>
    <x:row r="157" spans="1:52">
      <x:c r="A157" s="11"/>
      <x:c r="B157" s="11"/>
      <x:c r="C157" s="11"/>
      <x:c r="D157" s="5"/>
      <x:c r="E157" s="5"/>
      <x:c r="F157" s="1"/>
      <x:c r="G157" s="1"/>
      <x:c r="H157" s="12"/>
      <x:c r="I157" s="12"/>
      <x:c r="J157" s="11"/>
      <x:c r="K157" s="13"/>
      <x:c r="L157" s="13"/>
      <x:c r="M157" s="5"/>
      <x:c r="N157" s="5"/>
      <x:c r="O157" s="14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  <x:c r="AQ157" s="5"/>
      <x:c r="AR157" s="5"/>
      <x:c r="AS157" s="5"/>
      <x:c r="AT157" s="5"/>
      <x:c r="AU157" s="5"/>
      <x:c r="AV157" s="5"/>
      <x:c r="AW157" s="5"/>
      <x:c r="AX157" s="5"/>
      <x:c r="AY157" s="5"/>
      <x:c r="AZ157" s="5"/>
    </x:row>
    <x:row r="158" spans="1:52">
      <x:c r="A158" s="11"/>
      <x:c r="B158" s="11"/>
      <x:c r="C158" s="11"/>
      <x:c r="D158" s="5"/>
      <x:c r="E158" s="5"/>
      <x:c r="F158" s="1"/>
      <x:c r="G158" s="1"/>
      <x:c r="H158" s="12"/>
      <x:c r="I158" s="12"/>
      <x:c r="J158" s="11"/>
      <x:c r="K158" s="13"/>
      <x:c r="L158" s="13"/>
      <x:c r="M158" s="5"/>
      <x:c r="N158" s="5"/>
      <x:c r="O158" s="14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  <x:c r="AQ158" s="5"/>
      <x:c r="AR158" s="5"/>
      <x:c r="AS158" s="5"/>
      <x:c r="AT158" s="5"/>
      <x:c r="AU158" s="5"/>
      <x:c r="AV158" s="5"/>
      <x:c r="AW158" s="5"/>
      <x:c r="AX158" s="5"/>
      <x:c r="AY158" s="5"/>
      <x:c r="AZ158" s="5"/>
    </x:row>
    <x:row r="159" spans="1:52">
      <x:c r="A159" s="11"/>
      <x:c r="B159" s="11"/>
      <x:c r="C159" s="11"/>
      <x:c r="D159" s="5"/>
      <x:c r="E159" s="5"/>
      <x:c r="F159" s="1"/>
      <x:c r="G159" s="1"/>
      <x:c r="H159" s="12"/>
      <x:c r="I159" s="12"/>
      <x:c r="J159" s="11"/>
      <x:c r="K159" s="13"/>
      <x:c r="L159" s="13"/>
      <x:c r="M159" s="5"/>
      <x:c r="N159" s="5"/>
      <x:c r="O159" s="14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</x:row>
    <x:row r="160" spans="1:52">
      <x:c r="A160" s="11"/>
      <x:c r="B160" s="11"/>
      <x:c r="C160" s="11"/>
      <x:c r="D160" s="5"/>
      <x:c r="E160" s="5"/>
      <x:c r="F160" s="1"/>
      <x:c r="G160" s="1"/>
      <x:c r="H160" s="12"/>
      <x:c r="I160" s="12"/>
      <x:c r="J160" s="11"/>
      <x:c r="K160" s="13"/>
      <x:c r="L160" s="13"/>
      <x:c r="M160" s="5"/>
      <x:c r="N160" s="5"/>
      <x:c r="O160" s="14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</x:row>
    <x:row r="161" spans="1:52">
      <x:c r="A161" s="11"/>
      <x:c r="B161" s="11"/>
      <x:c r="C161" s="11"/>
      <x:c r="D161" s="5"/>
      <x:c r="E161" s="5"/>
      <x:c r="F161" s="1"/>
      <x:c r="G161" s="1"/>
      <x:c r="H161" s="12"/>
      <x:c r="I161" s="12"/>
      <x:c r="J161" s="11"/>
      <x:c r="K161" s="13"/>
      <x:c r="L161" s="13"/>
      <x:c r="M161" s="5"/>
      <x:c r="N161" s="5"/>
      <x:c r="O161" s="14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</x:row>
    <x:row r="162" spans="1:52">
      <x:c r="A162" s="11"/>
      <x:c r="B162" s="11"/>
      <x:c r="C162" s="11"/>
      <x:c r="D162" s="5"/>
      <x:c r="E162" s="5"/>
      <x:c r="F162" s="1"/>
      <x:c r="G162" s="1"/>
      <x:c r="H162" s="12"/>
      <x:c r="I162" s="12"/>
      <x:c r="J162" s="11"/>
      <x:c r="K162" s="13"/>
      <x:c r="L162" s="13"/>
      <x:c r="M162" s="5"/>
      <x:c r="N162" s="5"/>
      <x:c r="O162" s="14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</x:row>
    <x:row r="163" spans="1:52">
      <x:c r="A163" s="11"/>
      <x:c r="B163" s="11"/>
      <x:c r="C163" s="11"/>
      <x:c r="D163" s="5"/>
      <x:c r="E163" s="5"/>
      <x:c r="F163" s="1"/>
      <x:c r="G163" s="1"/>
      <x:c r="H163" s="12"/>
      <x:c r="I163" s="12"/>
      <x:c r="J163" s="11"/>
      <x:c r="K163" s="13"/>
      <x:c r="L163" s="13"/>
      <x:c r="M163" s="5"/>
      <x:c r="N163" s="5"/>
      <x:c r="O163" s="14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</x:row>
    <x:row r="164" spans="1:52">
      <x:c r="A164" s="11"/>
      <x:c r="B164" s="11"/>
      <x:c r="C164" s="11"/>
      <x:c r="D164" s="5"/>
      <x:c r="E164" s="5"/>
      <x:c r="F164" s="1"/>
      <x:c r="G164" s="1"/>
      <x:c r="H164" s="12"/>
      <x:c r="I164" s="12"/>
      <x:c r="J164" s="11"/>
      <x:c r="K164" s="13"/>
      <x:c r="L164" s="13"/>
      <x:c r="M164" s="5"/>
      <x:c r="N164" s="5"/>
      <x:c r="O164" s="14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</x:row>
    <x:row r="165" spans="1:52">
      <x:c r="A165" s="11"/>
      <x:c r="B165" s="11"/>
      <x:c r="C165" s="11"/>
      <x:c r="D165" s="5"/>
      <x:c r="E165" s="5"/>
      <x:c r="F165" s="1"/>
      <x:c r="G165" s="1"/>
      <x:c r="H165" s="12"/>
      <x:c r="I165" s="12"/>
      <x:c r="J165" s="11"/>
      <x:c r="K165" s="13"/>
      <x:c r="L165" s="13"/>
      <x:c r="M165" s="5"/>
      <x:c r="N165" s="5"/>
      <x:c r="O165" s="14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</x:row>
    <x:row r="166" spans="1:52">
      <x:c r="A166" s="11"/>
      <x:c r="B166" s="11"/>
      <x:c r="C166" s="11"/>
      <x:c r="D166" s="5"/>
      <x:c r="E166" s="5"/>
      <x:c r="F166" s="1"/>
      <x:c r="G166" s="1"/>
      <x:c r="H166" s="12"/>
      <x:c r="I166" s="12"/>
      <x:c r="J166" s="11"/>
      <x:c r="K166" s="13"/>
      <x:c r="L166" s="13"/>
      <x:c r="M166" s="5"/>
      <x:c r="N166" s="5"/>
      <x:c r="O166" s="14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</x:row>
    <x:row r="167" spans="1:52">
      <x:c r="A167" s="11"/>
      <x:c r="B167" s="11"/>
      <x:c r="C167" s="11"/>
      <x:c r="D167" s="5"/>
      <x:c r="E167" s="5"/>
      <x:c r="F167" s="1"/>
      <x:c r="G167" s="1"/>
      <x:c r="H167" s="12"/>
      <x:c r="I167" s="12"/>
      <x:c r="J167" s="11"/>
      <x:c r="K167" s="13"/>
      <x:c r="L167" s="13"/>
      <x:c r="M167" s="5"/>
      <x:c r="N167" s="5"/>
      <x:c r="O167" s="14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</x:row>
    <x:row r="168" spans="1:52">
      <x:c r="A168" s="11"/>
      <x:c r="B168" s="11"/>
      <x:c r="C168" s="11"/>
      <x:c r="D168" s="5"/>
      <x:c r="E168" s="5"/>
      <x:c r="F168" s="1"/>
      <x:c r="G168" s="1"/>
      <x:c r="H168" s="12"/>
      <x:c r="I168" s="12"/>
      <x:c r="J168" s="11"/>
      <x:c r="K168" s="13"/>
      <x:c r="L168" s="13"/>
      <x:c r="M168" s="5"/>
      <x:c r="N168" s="5"/>
      <x:c r="O168" s="14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/>
    </x:row>
    <x:row r="169" spans="1:52">
      <x:c r="A169" s="11"/>
      <x:c r="B169" s="11"/>
      <x:c r="C169" s="11"/>
      <x:c r="D169" s="5"/>
      <x:c r="E169" s="5"/>
      <x:c r="F169" s="1"/>
      <x:c r="G169" s="1"/>
      <x:c r="H169" s="12"/>
      <x:c r="I169" s="12"/>
      <x:c r="J169" s="11"/>
      <x:c r="K169" s="13"/>
      <x:c r="L169" s="13"/>
      <x:c r="M169" s="5"/>
      <x:c r="N169" s="5"/>
      <x:c r="O169" s="14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  <x:c r="AQ169" s="5"/>
      <x:c r="AR169" s="5"/>
      <x:c r="AS169" s="5"/>
      <x:c r="AT169" s="5"/>
      <x:c r="AU169" s="5"/>
      <x:c r="AV169" s="5"/>
      <x:c r="AW169" s="5"/>
      <x:c r="AX169" s="5"/>
      <x:c r="AY169" s="5"/>
      <x:c r="AZ169" s="5"/>
    </x:row>
    <x:row r="170" spans="1:52">
      <x:c r="A170" s="11"/>
      <x:c r="B170" s="11"/>
      <x:c r="C170" s="11"/>
      <x:c r="D170" s="5"/>
      <x:c r="E170" s="5"/>
      <x:c r="F170" s="1"/>
      <x:c r="G170" s="1"/>
      <x:c r="H170" s="12"/>
      <x:c r="I170" s="12"/>
      <x:c r="J170" s="11"/>
      <x:c r="K170" s="13"/>
      <x:c r="L170" s="13"/>
      <x:c r="M170" s="5"/>
      <x:c r="N170" s="5"/>
      <x:c r="O170" s="14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  <x:c r="AQ170" s="5"/>
      <x:c r="AR170" s="5"/>
      <x:c r="AS170" s="5"/>
      <x:c r="AT170" s="5"/>
      <x:c r="AU170" s="5"/>
      <x:c r="AV170" s="5"/>
      <x:c r="AW170" s="5"/>
      <x:c r="AX170" s="5"/>
      <x:c r="AY170" s="5"/>
      <x:c r="AZ170" s="5"/>
    </x:row>
    <x:row r="171" spans="1:52">
      <x:c r="A171" s="11"/>
      <x:c r="B171" s="11"/>
      <x:c r="C171" s="11"/>
      <x:c r="D171" s="5"/>
      <x:c r="E171" s="5"/>
      <x:c r="F171" s="1"/>
      <x:c r="G171" s="1"/>
      <x:c r="H171" s="12"/>
      <x:c r="I171" s="12"/>
      <x:c r="J171" s="11"/>
      <x:c r="K171" s="13"/>
      <x:c r="L171" s="13"/>
      <x:c r="M171" s="5"/>
      <x:c r="N171" s="5"/>
      <x:c r="O171" s="14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/>
      <x:c r="AR171" s="5"/>
      <x:c r="AS171" s="5"/>
      <x:c r="AT171" s="5"/>
      <x:c r="AU171" s="5"/>
      <x:c r="AV171" s="5"/>
      <x:c r="AW171" s="5"/>
      <x:c r="AX171" s="5"/>
      <x:c r="AY171" s="5"/>
      <x:c r="AZ171" s="5"/>
    </x:row>
    <x:row r="172" spans="1:52">
      <x:c r="A172" s="11"/>
      <x:c r="B172" s="11"/>
      <x:c r="C172" s="11"/>
      <x:c r="D172" s="5"/>
      <x:c r="E172" s="5"/>
      <x:c r="F172" s="1"/>
      <x:c r="G172" s="1"/>
      <x:c r="H172" s="12"/>
      <x:c r="I172" s="12"/>
      <x:c r="J172" s="11"/>
      <x:c r="K172" s="13"/>
      <x:c r="L172" s="13"/>
      <x:c r="M172" s="5"/>
      <x:c r="N172" s="5"/>
      <x:c r="O172" s="14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</x:row>
    <x:row r="173" spans="1:52">
      <x:c r="A173" s="11"/>
      <x:c r="B173" s="11"/>
      <x:c r="C173" s="11"/>
      <x:c r="D173" s="5"/>
      <x:c r="E173" s="5"/>
      <x:c r="F173" s="1"/>
      <x:c r="G173" s="1"/>
      <x:c r="H173" s="12"/>
      <x:c r="I173" s="12"/>
      <x:c r="J173" s="11"/>
      <x:c r="K173" s="13"/>
      <x:c r="L173" s="13"/>
      <x:c r="M173" s="5"/>
      <x:c r="N173" s="5"/>
      <x:c r="O173" s="14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/>
    </x:row>
    <x:row r="174" spans="1:52">
      <x:c r="A174" s="11"/>
      <x:c r="B174" s="11"/>
      <x:c r="C174" s="11"/>
      <x:c r="D174" s="5"/>
      <x:c r="E174" s="5"/>
      <x:c r="F174" s="1"/>
      <x:c r="G174" s="1"/>
      <x:c r="H174" s="12"/>
      <x:c r="I174" s="12"/>
      <x:c r="J174" s="11"/>
      <x:c r="K174" s="13"/>
      <x:c r="L174" s="13"/>
      <x:c r="M174" s="5"/>
      <x:c r="N174" s="5"/>
      <x:c r="O174" s="14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  <x:c r="AQ174" s="5"/>
      <x:c r="AR174" s="5"/>
      <x:c r="AS174" s="5"/>
      <x:c r="AT174" s="5"/>
      <x:c r="AU174" s="5"/>
      <x:c r="AV174" s="5"/>
      <x:c r="AW174" s="5"/>
      <x:c r="AX174" s="5"/>
      <x:c r="AY174" s="5"/>
      <x:c r="AZ174" s="5"/>
    </x:row>
    <x:row r="175" spans="1:52">
      <x:c r="A175" s="11"/>
      <x:c r="B175" s="11"/>
      <x:c r="C175" s="11"/>
      <x:c r="D175" s="5"/>
      <x:c r="E175" s="5"/>
      <x:c r="F175" s="1"/>
      <x:c r="G175" s="1"/>
      <x:c r="H175" s="12"/>
      <x:c r="I175" s="12"/>
      <x:c r="J175" s="11"/>
      <x:c r="K175" s="13"/>
      <x:c r="L175" s="13"/>
      <x:c r="M175" s="5"/>
      <x:c r="N175" s="5"/>
      <x:c r="O175" s="14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</x:row>
    <x:row r="176" spans="1:52">
      <x:c r="A176" s="11"/>
      <x:c r="B176" s="11"/>
      <x:c r="C176" s="11"/>
      <x:c r="D176" s="5"/>
      <x:c r="E176" s="5"/>
      <x:c r="F176" s="1"/>
      <x:c r="G176" s="1"/>
      <x:c r="H176" s="12"/>
      <x:c r="I176" s="12"/>
      <x:c r="J176" s="11"/>
      <x:c r="K176" s="13"/>
      <x:c r="L176" s="13"/>
      <x:c r="M176" s="5"/>
      <x:c r="N176" s="5"/>
      <x:c r="O176" s="14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</x:row>
    <x:row r="177" spans="1:52">
      <x:c r="A177" s="11"/>
      <x:c r="B177" s="11"/>
      <x:c r="C177" s="11"/>
      <x:c r="D177" s="5"/>
      <x:c r="E177" s="5"/>
      <x:c r="F177" s="1"/>
      <x:c r="G177" s="1"/>
      <x:c r="H177" s="12"/>
      <x:c r="I177" s="12"/>
      <x:c r="J177" s="11"/>
      <x:c r="K177" s="13"/>
      <x:c r="L177" s="13"/>
      <x:c r="M177" s="5"/>
      <x:c r="N177" s="5"/>
      <x:c r="O177" s="14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</x:row>
    <x:row r="178" spans="1:52">
      <x:c r="A178" s="11"/>
      <x:c r="B178" s="11"/>
      <x:c r="C178" s="11"/>
      <x:c r="D178" s="5"/>
      <x:c r="E178" s="5"/>
      <x:c r="F178" s="1"/>
      <x:c r="G178" s="1"/>
      <x:c r="H178" s="12"/>
      <x:c r="I178" s="12"/>
      <x:c r="J178" s="11"/>
      <x:c r="K178" s="13"/>
      <x:c r="L178" s="13"/>
      <x:c r="M178" s="5"/>
      <x:c r="N178" s="5"/>
      <x:c r="O178" s="14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</x:row>
    <x:row r="179" spans="1:52">
      <x:c r="A179" s="11"/>
      <x:c r="B179" s="11"/>
      <x:c r="C179" s="11"/>
      <x:c r="D179" s="5"/>
      <x:c r="E179" s="5"/>
      <x:c r="F179" s="1"/>
      <x:c r="G179" s="1"/>
      <x:c r="H179" s="12"/>
      <x:c r="I179" s="12"/>
      <x:c r="J179" s="11"/>
      <x:c r="K179" s="13"/>
      <x:c r="L179" s="13"/>
      <x:c r="M179" s="5"/>
      <x:c r="N179" s="5"/>
      <x:c r="O179" s="14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/>
    </x:row>
    <x:row r="180" spans="1:52">
      <x:c r="A180" s="11"/>
      <x:c r="B180" s="11"/>
      <x:c r="C180" s="11"/>
      <x:c r="D180" s="5"/>
      <x:c r="E180" s="5"/>
      <x:c r="F180" s="1"/>
      <x:c r="G180" s="1"/>
      <x:c r="H180" s="12"/>
      <x:c r="I180" s="12"/>
      <x:c r="J180" s="11"/>
      <x:c r="K180" s="13"/>
      <x:c r="L180" s="13"/>
      <x:c r="M180" s="5"/>
      <x:c r="N180" s="5"/>
      <x:c r="O180" s="14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</x:row>
    <x:row r="181" spans="1:52">
      <x:c r="A181" s="11"/>
      <x:c r="B181" s="11"/>
      <x:c r="C181" s="11"/>
      <x:c r="D181" s="5"/>
      <x:c r="E181" s="5"/>
      <x:c r="F181" s="1"/>
      <x:c r="G181" s="1"/>
      <x:c r="H181" s="12"/>
      <x:c r="I181" s="12"/>
      <x:c r="J181" s="11"/>
      <x:c r="K181" s="13"/>
      <x:c r="L181" s="13"/>
      <x:c r="M181" s="5"/>
      <x:c r="N181" s="5"/>
      <x:c r="O181" s="14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/>
      <x:c r="AR181" s="5"/>
      <x:c r="AS181" s="5"/>
      <x:c r="AT181" s="5"/>
      <x:c r="AU181" s="5"/>
      <x:c r="AV181" s="5"/>
      <x:c r="AW181" s="5"/>
      <x:c r="AX181" s="5"/>
      <x:c r="AY181" s="5"/>
      <x:c r="AZ181" s="5"/>
    </x:row>
    <x:row r="182" spans="1:52">
      <x:c r="A182" s="11"/>
      <x:c r="B182" s="11"/>
      <x:c r="C182" s="11"/>
      <x:c r="D182" s="5"/>
      <x:c r="E182" s="5"/>
      <x:c r="F182" s="1"/>
      <x:c r="G182" s="1"/>
      <x:c r="H182" s="12"/>
      <x:c r="I182" s="12"/>
      <x:c r="J182" s="11"/>
      <x:c r="K182" s="13"/>
      <x:c r="L182" s="13"/>
      <x:c r="M182" s="5"/>
      <x:c r="N182" s="5"/>
      <x:c r="O182" s="14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</x:row>
    <x:row r="183" spans="1:52">
      <x:c r="A183" s="11"/>
      <x:c r="B183" s="11"/>
      <x:c r="C183" s="11"/>
      <x:c r="D183" s="5"/>
      <x:c r="E183" s="5"/>
      <x:c r="F183" s="1"/>
      <x:c r="G183" s="1"/>
      <x:c r="H183" s="12"/>
      <x:c r="I183" s="12"/>
      <x:c r="J183" s="11"/>
      <x:c r="K183" s="13"/>
      <x:c r="L183" s="13"/>
      <x:c r="M183" s="5"/>
      <x:c r="N183" s="5"/>
      <x:c r="O183" s="14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/>
      <x:c r="AR183" s="5"/>
      <x:c r="AS183" s="5"/>
      <x:c r="AT183" s="5"/>
      <x:c r="AU183" s="5"/>
      <x:c r="AV183" s="5"/>
      <x:c r="AW183" s="5"/>
      <x:c r="AX183" s="5"/>
      <x:c r="AY183" s="5"/>
      <x:c r="AZ183" s="5"/>
    </x:row>
    <x:row r="184" spans="1:52">
      <x:c r="A184" s="11"/>
      <x:c r="B184" s="11"/>
      <x:c r="C184" s="11"/>
      <x:c r="D184" s="5"/>
      <x:c r="E184" s="5"/>
      <x:c r="F184" s="1"/>
      <x:c r="G184" s="1"/>
      <x:c r="H184" s="12"/>
      <x:c r="I184" s="12"/>
      <x:c r="J184" s="11"/>
      <x:c r="K184" s="13"/>
      <x:c r="L184" s="13"/>
      <x:c r="M184" s="5"/>
      <x:c r="N184" s="5"/>
      <x:c r="O184" s="14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/>
      <x:c r="AW184" s="5"/>
      <x:c r="AX184" s="5"/>
      <x:c r="AY184" s="5"/>
      <x:c r="AZ184" s="5"/>
    </x:row>
    <x:row r="185" spans="1:52">
      <x:c r="A185" s="11"/>
      <x:c r="B185" s="11"/>
      <x:c r="C185" s="11"/>
      <x:c r="D185" s="5"/>
      <x:c r="E185" s="5"/>
      <x:c r="F185" s="1"/>
      <x:c r="G185" s="1"/>
      <x:c r="H185" s="12"/>
      <x:c r="I185" s="12"/>
      <x:c r="J185" s="11"/>
      <x:c r="K185" s="13"/>
      <x:c r="L185" s="13"/>
      <x:c r="M185" s="5"/>
      <x:c r="N185" s="5"/>
      <x:c r="O185" s="14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</x:row>
    <x:row r="186" spans="1:52">
      <x:c r="A186" s="11"/>
      <x:c r="B186" s="11"/>
      <x:c r="C186" s="11"/>
      <x:c r="D186" s="5"/>
      <x:c r="E186" s="5"/>
      <x:c r="F186" s="1"/>
      <x:c r="G186" s="1"/>
      <x:c r="H186" s="12"/>
      <x:c r="I186" s="12"/>
      <x:c r="J186" s="11"/>
      <x:c r="K186" s="13"/>
      <x:c r="L186" s="13"/>
      <x:c r="M186" s="5"/>
      <x:c r="N186" s="5"/>
      <x:c r="O186" s="14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</x:row>
    <x:row r="187" spans="1:52">
      <x:c r="A187" s="11"/>
      <x:c r="B187" s="11"/>
      <x:c r="C187" s="11"/>
      <x:c r="D187" s="5"/>
      <x:c r="E187" s="5"/>
      <x:c r="F187" s="1"/>
      <x:c r="G187" s="1"/>
      <x:c r="H187" s="12"/>
      <x:c r="I187" s="12"/>
      <x:c r="J187" s="11"/>
      <x:c r="K187" s="13"/>
      <x:c r="L187" s="13"/>
      <x:c r="M187" s="5"/>
      <x:c r="N187" s="5"/>
      <x:c r="O187" s="14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</x:row>
    <x:row r="188" spans="1:52">
      <x:c r="A188" s="11"/>
      <x:c r="B188" s="11"/>
      <x:c r="C188" s="11"/>
      <x:c r="D188" s="5"/>
      <x:c r="E188" s="5"/>
      <x:c r="F188" s="1"/>
      <x:c r="G188" s="1"/>
      <x:c r="H188" s="12"/>
      <x:c r="I188" s="12"/>
      <x:c r="J188" s="11"/>
      <x:c r="K188" s="13"/>
      <x:c r="L188" s="13"/>
      <x:c r="M188" s="5"/>
      <x:c r="N188" s="5"/>
      <x:c r="O188" s="14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</x:row>
    <x:row r="189" spans="1:52">
      <x:c r="A189" s="11"/>
      <x:c r="B189" s="11"/>
      <x:c r="C189" s="11"/>
      <x:c r="D189" s="5"/>
      <x:c r="E189" s="5"/>
      <x:c r="F189" s="1"/>
      <x:c r="G189" s="1"/>
      <x:c r="H189" s="12"/>
      <x:c r="I189" s="12"/>
      <x:c r="J189" s="11"/>
      <x:c r="K189" s="13"/>
      <x:c r="L189" s="13"/>
      <x:c r="M189" s="5"/>
      <x:c r="N189" s="5"/>
      <x:c r="O189" s="14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</x:row>
    <x:row r="190" spans="1:52">
      <x:c r="A190" s="11"/>
      <x:c r="B190" s="11"/>
      <x:c r="C190" s="11"/>
      <x:c r="D190" s="5"/>
      <x:c r="E190" s="5"/>
      <x:c r="F190" s="1"/>
      <x:c r="G190" s="1"/>
      <x:c r="H190" s="12"/>
      <x:c r="I190" s="12"/>
      <x:c r="J190" s="11"/>
      <x:c r="K190" s="13"/>
      <x:c r="L190" s="13"/>
      <x:c r="M190" s="5"/>
      <x:c r="N190" s="5"/>
      <x:c r="O190" s="14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</x:row>
    <x:row r="191" spans="1:52">
      <x:c r="A191" s="11"/>
      <x:c r="B191" s="11"/>
      <x:c r="C191" s="11"/>
      <x:c r="D191" s="5"/>
      <x:c r="E191" s="5"/>
      <x:c r="F191" s="1"/>
      <x:c r="G191" s="1"/>
      <x:c r="H191" s="12"/>
      <x:c r="I191" s="12"/>
      <x:c r="J191" s="11"/>
      <x:c r="K191" s="13"/>
      <x:c r="L191" s="13"/>
      <x:c r="M191" s="5"/>
      <x:c r="N191" s="5"/>
      <x:c r="O191" s="14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  <x:c r="AQ191" s="5"/>
      <x:c r="AR191" s="5"/>
      <x:c r="AS191" s="5"/>
      <x:c r="AT191" s="5"/>
      <x:c r="AU191" s="5"/>
      <x:c r="AV191" s="5"/>
      <x:c r="AW191" s="5"/>
      <x:c r="AX191" s="5"/>
      <x:c r="AY191" s="5"/>
      <x:c r="AZ191" s="5"/>
    </x:row>
    <x:row r="192" spans="1:52">
      <x:c r="A192" s="11"/>
      <x:c r="B192" s="11"/>
      <x:c r="C192" s="11"/>
      <x:c r="D192" s="5"/>
      <x:c r="E192" s="5"/>
      <x:c r="F192" s="1"/>
      <x:c r="G192" s="1"/>
      <x:c r="H192" s="12"/>
      <x:c r="I192" s="12"/>
      <x:c r="J192" s="11"/>
      <x:c r="K192" s="13"/>
      <x:c r="L192" s="13"/>
      <x:c r="M192" s="5"/>
      <x:c r="N192" s="5"/>
      <x:c r="O192" s="14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</x:row>
    <x:row r="193" spans="1:52">
      <x:c r="A193" s="11"/>
      <x:c r="B193" s="11"/>
      <x:c r="C193" s="11"/>
      <x:c r="D193" s="5"/>
      <x:c r="E193" s="5"/>
      <x:c r="F193" s="1"/>
      <x:c r="G193" s="1"/>
      <x:c r="H193" s="12"/>
      <x:c r="I193" s="12"/>
      <x:c r="J193" s="11"/>
      <x:c r="K193" s="13"/>
      <x:c r="L193" s="13"/>
      <x:c r="M193" s="5"/>
      <x:c r="N193" s="5"/>
      <x:c r="O193" s="14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/>
    </x:row>
    <x:row r="194" spans="1:52">
      <x:c r="A194" s="11"/>
      <x:c r="B194" s="11"/>
      <x:c r="C194" s="11"/>
      <x:c r="D194" s="5"/>
      <x:c r="E194" s="5"/>
      <x:c r="F194" s="1"/>
      <x:c r="G194" s="1"/>
      <x:c r="H194" s="12"/>
      <x:c r="I194" s="12"/>
      <x:c r="J194" s="11"/>
      <x:c r="K194" s="13"/>
      <x:c r="L194" s="13"/>
      <x:c r="M194" s="5"/>
      <x:c r="N194" s="5"/>
      <x:c r="O194" s="14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</x:row>
    <x:row r="195" spans="1:52">
      <x:c r="A195" s="11"/>
      <x:c r="B195" s="11"/>
      <x:c r="C195" s="11"/>
      <x:c r="D195" s="5"/>
      <x:c r="E195" s="5"/>
      <x:c r="F195" s="1"/>
      <x:c r="G195" s="1"/>
      <x:c r="H195" s="12"/>
      <x:c r="I195" s="12"/>
      <x:c r="J195" s="11"/>
      <x:c r="K195" s="13"/>
      <x:c r="L195" s="13"/>
      <x:c r="M195" s="5"/>
      <x:c r="N195" s="5"/>
      <x:c r="O195" s="14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</x:row>
    <x:row r="196" spans="1:52">
      <x:c r="A196" s="11"/>
      <x:c r="B196" s="11"/>
      <x:c r="C196" s="11"/>
      <x:c r="D196" s="5"/>
      <x:c r="E196" s="5"/>
      <x:c r="F196" s="1"/>
      <x:c r="G196" s="1"/>
      <x:c r="H196" s="12"/>
      <x:c r="I196" s="12"/>
      <x:c r="J196" s="11"/>
      <x:c r="K196" s="13"/>
      <x:c r="L196" s="13"/>
      <x:c r="M196" s="5"/>
      <x:c r="N196" s="5"/>
      <x:c r="O196" s="14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</x:row>
    <x:row r="197" spans="1:52">
      <x:c r="A197" s="11"/>
      <x:c r="B197" s="11"/>
      <x:c r="C197" s="11"/>
      <x:c r="D197" s="5"/>
      <x:c r="E197" s="5"/>
      <x:c r="F197" s="1"/>
      <x:c r="G197" s="1"/>
      <x:c r="H197" s="12"/>
      <x:c r="I197" s="12"/>
      <x:c r="J197" s="11"/>
      <x:c r="K197" s="13"/>
      <x:c r="L197" s="13"/>
      <x:c r="M197" s="5"/>
      <x:c r="N197" s="5"/>
      <x:c r="O197" s="14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</x:row>
    <x:row r="198" spans="1:52">
      <x:c r="A198" s="11"/>
      <x:c r="B198" s="11"/>
      <x:c r="C198" s="11"/>
      <x:c r="D198" s="5"/>
      <x:c r="E198" s="5"/>
      <x:c r="F198" s="1"/>
      <x:c r="G198" s="1"/>
      <x:c r="H198" s="12"/>
      <x:c r="I198" s="12"/>
      <x:c r="J198" s="11"/>
      <x:c r="K198" s="13"/>
      <x:c r="L198" s="13"/>
      <x:c r="M198" s="5"/>
      <x:c r="N198" s="5"/>
      <x:c r="O198" s="14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  <x:c r="AQ198" s="5"/>
      <x:c r="AR198" s="5"/>
      <x:c r="AS198" s="5"/>
      <x:c r="AT198" s="5"/>
      <x:c r="AU198" s="5"/>
      <x:c r="AV198" s="5"/>
      <x:c r="AW198" s="5"/>
      <x:c r="AX198" s="5"/>
      <x:c r="AY198" s="5"/>
      <x:c r="AZ198" s="5"/>
    </x:row>
    <x:row r="199" spans="1:52">
      <x:c r="A199" s="11"/>
      <x:c r="B199" s="11"/>
      <x:c r="C199" s="11"/>
      <x:c r="D199" s="5"/>
      <x:c r="E199" s="5"/>
      <x:c r="F199" s="1"/>
      <x:c r="G199" s="1"/>
      <x:c r="H199" s="12"/>
      <x:c r="I199" s="12"/>
      <x:c r="J199" s="11"/>
      <x:c r="K199" s="13"/>
      <x:c r="L199" s="13"/>
      <x:c r="M199" s="5"/>
      <x:c r="N199" s="5"/>
      <x:c r="O199" s="14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</x:row>
    <x:row r="200" spans="1:52">
      <x:c r="A200" s="11"/>
      <x:c r="B200" s="11"/>
      <x:c r="C200" s="11"/>
      <x:c r="D200" s="5"/>
      <x:c r="E200" s="5"/>
      <x:c r="F200" s="1"/>
      <x:c r="G200" s="1"/>
      <x:c r="H200" s="12"/>
      <x:c r="I200" s="12"/>
      <x:c r="J200" s="11"/>
      <x:c r="K200" s="13"/>
      <x:c r="L200" s="13"/>
      <x:c r="M200" s="5"/>
      <x:c r="N200" s="5"/>
      <x:c r="O200" s="14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</x:row>
    <x:row r="201" spans="1:52">
      <x:c r="A201" s="11"/>
      <x:c r="B201" s="11"/>
      <x:c r="C201" s="11"/>
      <x:c r="D201" s="5"/>
      <x:c r="E201" s="5"/>
      <x:c r="F201" s="1"/>
      <x:c r="G201" s="1"/>
      <x:c r="H201" s="12"/>
      <x:c r="I201" s="12"/>
      <x:c r="J201" s="11"/>
      <x:c r="K201" s="13"/>
      <x:c r="L201" s="13"/>
      <x:c r="M201" s="5"/>
      <x:c r="N201" s="5"/>
      <x:c r="O201" s="14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/>
      <x:c r="AR201" s="5"/>
      <x:c r="AS201" s="5"/>
      <x:c r="AT201" s="5"/>
      <x:c r="AU201" s="5"/>
      <x:c r="AV201" s="5"/>
      <x:c r="AW201" s="5"/>
      <x:c r="AX201" s="5"/>
      <x:c r="AY201" s="5"/>
      <x:c r="AZ201" s="5"/>
    </x:row>
    <x:row r="202" spans="1:52">
      <x:c r="A202" s="11"/>
      <x:c r="B202" s="11"/>
      <x:c r="C202" s="11"/>
      <x:c r="D202" s="5"/>
      <x:c r="E202" s="5"/>
      <x:c r="F202" s="1"/>
      <x:c r="G202" s="1"/>
      <x:c r="H202" s="12"/>
      <x:c r="I202" s="12"/>
      <x:c r="J202" s="11"/>
      <x:c r="K202" s="13"/>
      <x:c r="L202" s="13"/>
      <x:c r="M202" s="5"/>
      <x:c r="N202" s="5"/>
      <x:c r="O202" s="14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</x:row>
    <x:row r="203" spans="1:52">
      <x:c r="A203" s="11"/>
      <x:c r="B203" s="11"/>
      <x:c r="C203" s="11"/>
      <x:c r="D203" s="5"/>
      <x:c r="E203" s="5"/>
      <x:c r="F203" s="1"/>
      <x:c r="G203" s="1"/>
      <x:c r="H203" s="12"/>
      <x:c r="I203" s="12"/>
      <x:c r="J203" s="11"/>
      <x:c r="K203" s="13"/>
      <x:c r="L203" s="13"/>
      <x:c r="M203" s="5"/>
      <x:c r="N203" s="5"/>
      <x:c r="O203" s="14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</x:row>
    <x:row r="204" spans="1:52">
      <x:c r="A204" s="11"/>
      <x:c r="B204" s="11"/>
      <x:c r="C204" s="11"/>
      <x:c r="D204" s="5"/>
      <x:c r="E204" s="5"/>
      <x:c r="F204" s="1"/>
      <x:c r="G204" s="1"/>
      <x:c r="H204" s="12"/>
      <x:c r="I204" s="12"/>
      <x:c r="J204" s="11"/>
      <x:c r="K204" s="13"/>
      <x:c r="L204" s="13"/>
      <x:c r="M204" s="5"/>
      <x:c r="N204" s="5"/>
      <x:c r="O204" s="14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</x:row>
    <x:row r="205" spans="1:52">
      <x:c r="A205" s="11"/>
      <x:c r="B205" s="11"/>
      <x:c r="C205" s="11"/>
      <x:c r="D205" s="5"/>
      <x:c r="E205" s="5"/>
      <x:c r="F205" s="1"/>
      <x:c r="G205" s="1"/>
      <x:c r="H205" s="12"/>
      <x:c r="I205" s="12"/>
      <x:c r="J205" s="11"/>
      <x:c r="K205" s="13"/>
      <x:c r="L205" s="13"/>
      <x:c r="M205" s="5"/>
      <x:c r="N205" s="5"/>
      <x:c r="O205" s="14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</x:row>
    <x:row r="206" spans="1:52">
      <x:c r="A206" s="11"/>
      <x:c r="B206" s="11"/>
      <x:c r="C206" s="11"/>
      <x:c r="D206" s="5"/>
      <x:c r="E206" s="5"/>
      <x:c r="F206" s="1"/>
      <x:c r="G206" s="1"/>
      <x:c r="H206" s="12"/>
      <x:c r="I206" s="12"/>
      <x:c r="J206" s="11"/>
      <x:c r="K206" s="13"/>
      <x:c r="L206" s="13"/>
      <x:c r="M206" s="5"/>
      <x:c r="N206" s="5"/>
      <x:c r="O206" s="14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</x:row>
    <x:row r="207" spans="1:52">
      <x:c r="A207" s="11"/>
      <x:c r="B207" s="11"/>
      <x:c r="C207" s="11"/>
      <x:c r="D207" s="5"/>
      <x:c r="E207" s="5"/>
      <x:c r="F207" s="1"/>
      <x:c r="G207" s="1"/>
      <x:c r="H207" s="12"/>
      <x:c r="I207" s="12"/>
      <x:c r="J207" s="11"/>
      <x:c r="K207" s="13"/>
      <x:c r="L207" s="13"/>
      <x:c r="M207" s="5"/>
      <x:c r="N207" s="5"/>
      <x:c r="O207" s="14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/>
    </x:row>
    <x:row r="208" spans="1:52">
      <x:c r="A208" s="11"/>
      <x:c r="B208" s="11"/>
      <x:c r="C208" s="11"/>
      <x:c r="D208" s="5"/>
      <x:c r="E208" s="5"/>
      <x:c r="F208" s="1"/>
      <x:c r="G208" s="1"/>
      <x:c r="H208" s="12"/>
      <x:c r="I208" s="12"/>
      <x:c r="J208" s="11"/>
      <x:c r="K208" s="13"/>
      <x:c r="L208" s="13"/>
      <x:c r="M208" s="5"/>
      <x:c r="N208" s="5"/>
      <x:c r="O208" s="14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/>
    </x:row>
    <x:row r="209" spans="1:52">
      <x:c r="A209" s="11"/>
      <x:c r="B209" s="11"/>
      <x:c r="C209" s="11"/>
      <x:c r="D209" s="5"/>
      <x:c r="E209" s="5"/>
      <x:c r="F209" s="1"/>
      <x:c r="G209" s="1"/>
      <x:c r="H209" s="12"/>
      <x:c r="I209" s="12"/>
      <x:c r="J209" s="11"/>
      <x:c r="K209" s="13"/>
      <x:c r="L209" s="13"/>
      <x:c r="M209" s="5"/>
      <x:c r="N209" s="5"/>
      <x:c r="O209" s="14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</x:row>
    <x:row r="210" spans="1:52">
      <x:c r="A210" s="11"/>
      <x:c r="B210" s="11"/>
      <x:c r="C210" s="11"/>
      <x:c r="D210" s="5"/>
      <x:c r="E210" s="5"/>
      <x:c r="F210" s="1"/>
      <x:c r="G210" s="1"/>
      <x:c r="H210" s="12"/>
      <x:c r="I210" s="12"/>
      <x:c r="J210" s="11"/>
      <x:c r="K210" s="13"/>
      <x:c r="L210" s="13"/>
      <x:c r="M210" s="5"/>
      <x:c r="N210" s="5"/>
      <x:c r="O210" s="14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/>
    </x:row>
    <x:row r="211" spans="1:52">
      <x:c r="A211" s="11"/>
      <x:c r="B211" s="11"/>
      <x:c r="C211" s="11"/>
      <x:c r="D211" s="5"/>
      <x:c r="E211" s="5"/>
      <x:c r="F211" s="1"/>
      <x:c r="G211" s="1"/>
      <x:c r="H211" s="12"/>
      <x:c r="I211" s="12"/>
      <x:c r="J211" s="11"/>
      <x:c r="K211" s="13"/>
      <x:c r="L211" s="13"/>
      <x:c r="M211" s="5"/>
      <x:c r="N211" s="5"/>
      <x:c r="O211" s="14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</x:row>
    <x:row r="212" spans="1:52">
      <x:c r="A212" s="11"/>
      <x:c r="B212" s="11"/>
      <x:c r="C212" s="11"/>
      <x:c r="D212" s="5"/>
      <x:c r="E212" s="5"/>
      <x:c r="F212" s="1"/>
      <x:c r="G212" s="1"/>
      <x:c r="H212" s="12"/>
      <x:c r="I212" s="12"/>
      <x:c r="J212" s="11"/>
      <x:c r="K212" s="13"/>
      <x:c r="L212" s="13"/>
      <x:c r="M212" s="5"/>
      <x:c r="N212" s="5"/>
      <x:c r="O212" s="14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</x:row>
    <x:row r="213" spans="1:52">
      <x:c r="A213" s="11"/>
      <x:c r="B213" s="11"/>
      <x:c r="C213" s="11"/>
      <x:c r="D213" s="5"/>
      <x:c r="E213" s="5"/>
      <x:c r="F213" s="1"/>
      <x:c r="G213" s="1"/>
      <x:c r="H213" s="12"/>
      <x:c r="I213" s="12"/>
      <x:c r="J213" s="11"/>
      <x:c r="K213" s="13"/>
      <x:c r="L213" s="13"/>
      <x:c r="M213" s="5"/>
      <x:c r="N213" s="5"/>
      <x:c r="O213" s="14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</x:row>
    <x:row r="214" spans="1:52">
      <x:c r="A214" s="11"/>
      <x:c r="B214" s="11"/>
      <x:c r="C214" s="11"/>
      <x:c r="D214" s="5"/>
      <x:c r="E214" s="5"/>
      <x:c r="F214" s="1"/>
      <x:c r="G214" s="1"/>
      <x:c r="H214" s="12"/>
      <x:c r="I214" s="12"/>
      <x:c r="J214" s="11"/>
      <x:c r="K214" s="13"/>
      <x:c r="L214" s="13"/>
      <x:c r="M214" s="5"/>
      <x:c r="N214" s="5"/>
      <x:c r="O214" s="14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</x:row>
    <x:row r="215" spans="1:52">
      <x:c r="A215" s="11"/>
      <x:c r="B215" s="11"/>
      <x:c r="C215" s="11"/>
      <x:c r="D215" s="5"/>
      <x:c r="E215" s="5"/>
      <x:c r="F215" s="1"/>
      <x:c r="G215" s="1"/>
      <x:c r="H215" s="12"/>
      <x:c r="I215" s="12"/>
      <x:c r="J215" s="11"/>
      <x:c r="K215" s="13"/>
      <x:c r="L215" s="13"/>
      <x:c r="M215" s="5"/>
      <x:c r="N215" s="5"/>
      <x:c r="O215" s="14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</x:row>
    <x:row r="216" spans="1:52">
      <x:c r="A216" s="11"/>
      <x:c r="B216" s="11"/>
      <x:c r="C216" s="11"/>
      <x:c r="D216" s="5"/>
      <x:c r="E216" s="5"/>
      <x:c r="F216" s="1"/>
      <x:c r="G216" s="1"/>
      <x:c r="H216" s="12"/>
      <x:c r="I216" s="12"/>
      <x:c r="J216" s="11"/>
      <x:c r="K216" s="13"/>
      <x:c r="L216" s="13"/>
      <x:c r="M216" s="5"/>
      <x:c r="N216" s="5"/>
      <x:c r="O216" s="14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</x:row>
    <x:row r="217" spans="1:52">
      <x:c r="A217" s="11"/>
      <x:c r="B217" s="11"/>
      <x:c r="C217" s="11"/>
      <x:c r="D217" s="5"/>
      <x:c r="E217" s="5"/>
      <x:c r="F217" s="1"/>
      <x:c r="G217" s="1"/>
      <x:c r="H217" s="12"/>
      <x:c r="I217" s="12"/>
      <x:c r="J217" s="11"/>
      <x:c r="K217" s="13"/>
      <x:c r="L217" s="13"/>
      <x:c r="M217" s="5"/>
      <x:c r="N217" s="5"/>
      <x:c r="O217" s="14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</x:row>
    <x:row r="218" spans="1:52">
      <x:c r="A218" s="11"/>
      <x:c r="B218" s="11"/>
      <x:c r="C218" s="11"/>
      <x:c r="D218" s="5"/>
      <x:c r="E218" s="5"/>
      <x:c r="F218" s="1"/>
      <x:c r="G218" s="1"/>
      <x:c r="H218" s="12"/>
      <x:c r="I218" s="12"/>
      <x:c r="J218" s="11"/>
      <x:c r="K218" s="13"/>
      <x:c r="L218" s="13"/>
      <x:c r="M218" s="5"/>
      <x:c r="N218" s="5"/>
      <x:c r="O218" s="14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/>
      <x:c r="AR218" s="5"/>
      <x:c r="AS218" s="5"/>
      <x:c r="AT218" s="5"/>
      <x:c r="AU218" s="5"/>
      <x:c r="AV218" s="5"/>
      <x:c r="AW218" s="5"/>
      <x:c r="AX218" s="5"/>
      <x:c r="AY218" s="5"/>
      <x:c r="AZ218" s="5"/>
    </x:row>
    <x:row r="219" spans="1:52">
      <x:c r="A219" s="11"/>
      <x:c r="B219" s="11"/>
      <x:c r="C219" s="11"/>
      <x:c r="D219" s="5"/>
      <x:c r="E219" s="5"/>
      <x:c r="F219" s="1"/>
      <x:c r="G219" s="1"/>
      <x:c r="H219" s="12"/>
      <x:c r="I219" s="12"/>
      <x:c r="J219" s="11"/>
      <x:c r="K219" s="13"/>
      <x:c r="L219" s="13"/>
      <x:c r="M219" s="5"/>
      <x:c r="N219" s="5"/>
      <x:c r="O219" s="14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</x:row>
    <x:row r="220" spans="1:52">
      <x:c r="A220" s="11"/>
      <x:c r="B220" s="11"/>
      <x:c r="C220" s="11"/>
      <x:c r="D220" s="5"/>
      <x:c r="E220" s="5"/>
      <x:c r="F220" s="1"/>
      <x:c r="G220" s="1"/>
      <x:c r="H220" s="12"/>
      <x:c r="I220" s="12"/>
      <x:c r="J220" s="11"/>
      <x:c r="K220" s="13"/>
      <x:c r="L220" s="13"/>
      <x:c r="M220" s="5"/>
      <x:c r="N220" s="5"/>
      <x:c r="O220" s="14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</x:row>
    <x:row r="221" spans="1:52">
      <x:c r="A221" s="11"/>
      <x:c r="B221" s="11"/>
      <x:c r="C221" s="11"/>
      <x:c r="D221" s="5"/>
      <x:c r="E221" s="5"/>
      <x:c r="F221" s="1"/>
      <x:c r="G221" s="1"/>
      <x:c r="H221" s="12"/>
      <x:c r="I221" s="12"/>
      <x:c r="J221" s="11"/>
      <x:c r="K221" s="13"/>
      <x:c r="L221" s="13"/>
      <x:c r="M221" s="5"/>
      <x:c r="N221" s="5"/>
      <x:c r="O221" s="14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  <x:c r="AB221" s="5"/>
      <x:c r="AC221" s="5"/>
      <x:c r="AD221" s="5"/>
      <x:c r="AE221" s="5"/>
      <x:c r="AF221" s="5"/>
      <x:c r="AG221" s="5"/>
      <x:c r="AH221" s="5"/>
      <x:c r="AI221" s="5"/>
      <x:c r="AJ221" s="5"/>
      <x:c r="AK221" s="5"/>
      <x:c r="AL221" s="5"/>
      <x:c r="AM221" s="5"/>
      <x:c r="AN221" s="5"/>
      <x:c r="AO221" s="5"/>
      <x:c r="AP221" s="5"/>
      <x:c r="AQ221" s="5"/>
      <x:c r="AR221" s="5"/>
      <x:c r="AS221" s="5"/>
      <x:c r="AT221" s="5"/>
      <x:c r="AU221" s="5"/>
      <x:c r="AV221" s="5"/>
      <x:c r="AW221" s="5"/>
      <x:c r="AX221" s="5"/>
      <x:c r="AY221" s="5"/>
      <x:c r="AZ221" s="5"/>
    </x:row>
    <x:row r="222" spans="1:52">
      <x:c r="A222" s="11"/>
      <x:c r="B222" s="11"/>
      <x:c r="C222" s="11"/>
      <x:c r="D222" s="5"/>
      <x:c r="E222" s="5"/>
      <x:c r="F222" s="1"/>
      <x:c r="G222" s="1"/>
      <x:c r="H222" s="12"/>
      <x:c r="I222" s="12"/>
      <x:c r="J222" s="11"/>
      <x:c r="K222" s="13"/>
      <x:c r="L222" s="13"/>
      <x:c r="M222" s="5"/>
      <x:c r="N222" s="5"/>
      <x:c r="O222" s="14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5"/>
      <x:c r="AD222" s="5"/>
      <x:c r="AE222" s="5"/>
      <x:c r="AF222" s="5"/>
      <x:c r="AG222" s="5"/>
      <x:c r="AH222" s="5"/>
      <x:c r="AI222" s="5"/>
      <x:c r="AJ222" s="5"/>
      <x:c r="AK222" s="5"/>
      <x:c r="AL222" s="5"/>
      <x:c r="AM222" s="5"/>
      <x:c r="AN222" s="5"/>
      <x:c r="AO222" s="5"/>
      <x:c r="AP222" s="5"/>
      <x:c r="AQ222" s="5"/>
      <x:c r="AR222" s="5"/>
      <x:c r="AS222" s="5"/>
      <x:c r="AT222" s="5"/>
      <x:c r="AU222" s="5"/>
      <x:c r="AV222" s="5"/>
      <x:c r="AW222" s="5"/>
      <x:c r="AX222" s="5"/>
      <x:c r="AY222" s="5"/>
      <x:c r="AZ222" s="5"/>
    </x:row>
    <x:row r="223" spans="1:52">
      <x:c r="A223" s="11"/>
      <x:c r="B223" s="11"/>
      <x:c r="C223" s="11"/>
      <x:c r="D223" s="5"/>
      <x:c r="E223" s="5"/>
      <x:c r="F223" s="1"/>
      <x:c r="G223" s="1"/>
      <x:c r="H223" s="12"/>
      <x:c r="I223" s="12"/>
      <x:c r="J223" s="11"/>
      <x:c r="K223" s="13"/>
      <x:c r="L223" s="13"/>
      <x:c r="M223" s="5"/>
      <x:c r="N223" s="5"/>
      <x:c r="O223" s="14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5"/>
      <x:c r="AD223" s="5"/>
      <x:c r="AE223" s="5"/>
      <x:c r="AF223" s="5"/>
      <x:c r="AG223" s="5"/>
      <x:c r="AH223" s="5"/>
      <x:c r="AI223" s="5"/>
      <x:c r="AJ223" s="5"/>
      <x:c r="AK223" s="5"/>
      <x:c r="AL223" s="5"/>
      <x:c r="AM223" s="5"/>
      <x:c r="AN223" s="5"/>
      <x:c r="AO223" s="5"/>
      <x:c r="AP223" s="5"/>
      <x:c r="AQ223" s="5"/>
      <x:c r="AR223" s="5"/>
      <x:c r="AS223" s="5"/>
      <x:c r="AT223" s="5"/>
      <x:c r="AU223" s="5"/>
      <x:c r="AV223" s="5"/>
      <x:c r="AW223" s="5"/>
      <x:c r="AX223" s="5"/>
      <x:c r="AY223" s="5"/>
      <x:c r="AZ223" s="5"/>
    </x:row>
    <x:row r="224" spans="1:52">
      <x:c r="A224" s="11"/>
      <x:c r="B224" s="11"/>
      <x:c r="C224" s="11"/>
      <x:c r="D224" s="5"/>
      <x:c r="E224" s="5"/>
      <x:c r="F224" s="1"/>
      <x:c r="G224" s="1"/>
      <x:c r="H224" s="12"/>
      <x:c r="I224" s="12"/>
      <x:c r="J224" s="11"/>
      <x:c r="K224" s="13"/>
      <x:c r="L224" s="13"/>
      <x:c r="M224" s="5"/>
      <x:c r="N224" s="5"/>
      <x:c r="O224" s="14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5"/>
      <x:c r="AD224" s="5"/>
      <x:c r="AE224" s="5"/>
      <x:c r="AF224" s="5"/>
      <x:c r="AG224" s="5"/>
      <x:c r="AH224" s="5"/>
      <x:c r="AI224" s="5"/>
      <x:c r="AJ224" s="5"/>
      <x:c r="AK224" s="5"/>
      <x:c r="AL224" s="5"/>
      <x:c r="AM224" s="5"/>
      <x:c r="AN224" s="5"/>
      <x:c r="AO224" s="5"/>
      <x:c r="AP224" s="5"/>
      <x:c r="AQ224" s="5"/>
      <x:c r="AR224" s="5"/>
      <x:c r="AS224" s="5"/>
      <x:c r="AT224" s="5"/>
      <x:c r="AU224" s="5"/>
      <x:c r="AV224" s="5"/>
      <x:c r="AW224" s="5"/>
      <x:c r="AX224" s="5"/>
      <x:c r="AY224" s="5"/>
      <x:c r="AZ224" s="5"/>
    </x:row>
    <x:row r="225" spans="1:52">
      <x:c r="A225" s="11"/>
      <x:c r="B225" s="11"/>
      <x:c r="C225" s="11"/>
      <x:c r="D225" s="5"/>
      <x:c r="E225" s="5"/>
      <x:c r="F225" s="1"/>
      <x:c r="G225" s="1"/>
      <x:c r="H225" s="12"/>
      <x:c r="I225" s="12"/>
      <x:c r="J225" s="11"/>
      <x:c r="K225" s="13"/>
      <x:c r="L225" s="13"/>
      <x:c r="M225" s="5"/>
      <x:c r="N225" s="5"/>
      <x:c r="O225" s="14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5"/>
      <x:c r="AD225" s="5"/>
      <x:c r="AE225" s="5"/>
      <x:c r="AF225" s="5"/>
      <x:c r="AG225" s="5"/>
      <x:c r="AH225" s="5"/>
      <x:c r="AI225" s="5"/>
      <x:c r="AJ225" s="5"/>
      <x:c r="AK225" s="5"/>
      <x:c r="AL225" s="5"/>
      <x:c r="AM225" s="5"/>
      <x:c r="AN225" s="5"/>
      <x:c r="AO225" s="5"/>
      <x:c r="AP225" s="5"/>
      <x:c r="AQ225" s="5"/>
      <x:c r="AR225" s="5"/>
      <x:c r="AS225" s="5"/>
      <x:c r="AT225" s="5"/>
      <x:c r="AU225" s="5"/>
      <x:c r="AV225" s="5"/>
      <x:c r="AW225" s="5"/>
      <x:c r="AX225" s="5"/>
      <x:c r="AY225" s="5"/>
      <x:c r="AZ225" s="5"/>
    </x:row>
    <x:row r="226" spans="1:52">
      <x:c r="A226" s="11"/>
      <x:c r="B226" s="11"/>
      <x:c r="C226" s="11"/>
      <x:c r="D226" s="5"/>
      <x:c r="E226" s="5"/>
      <x:c r="F226" s="1"/>
      <x:c r="G226" s="1"/>
      <x:c r="H226" s="12"/>
      <x:c r="I226" s="12"/>
      <x:c r="J226" s="11"/>
      <x:c r="K226" s="13"/>
      <x:c r="L226" s="13"/>
      <x:c r="M226" s="5"/>
      <x:c r="N226" s="5"/>
      <x:c r="O226" s="14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5"/>
      <x:c r="AD226" s="5"/>
      <x:c r="AE226" s="5"/>
      <x:c r="AF226" s="5"/>
      <x:c r="AG226" s="5"/>
      <x:c r="AH226" s="5"/>
      <x:c r="AI226" s="5"/>
      <x:c r="AJ226" s="5"/>
      <x:c r="AK226" s="5"/>
      <x:c r="AL226" s="5"/>
      <x:c r="AM226" s="5"/>
      <x:c r="AN226" s="5"/>
      <x:c r="AO226" s="5"/>
      <x:c r="AP226" s="5"/>
      <x:c r="AQ226" s="5"/>
      <x:c r="AR226" s="5"/>
      <x:c r="AS226" s="5"/>
      <x:c r="AT226" s="5"/>
      <x:c r="AU226" s="5"/>
      <x:c r="AV226" s="5"/>
      <x:c r="AW226" s="5"/>
      <x:c r="AX226" s="5"/>
      <x:c r="AY226" s="5"/>
      <x:c r="AZ226" s="5"/>
    </x:row>
    <x:row r="227" spans="1:52">
      <x:c r="A227" s="11"/>
      <x:c r="B227" s="11"/>
      <x:c r="C227" s="11"/>
      <x:c r="D227" s="5"/>
      <x:c r="E227" s="5"/>
      <x:c r="F227" s="1"/>
      <x:c r="G227" s="1"/>
      <x:c r="H227" s="12"/>
      <x:c r="I227" s="12"/>
      <x:c r="J227" s="11"/>
      <x:c r="K227" s="13"/>
      <x:c r="L227" s="13"/>
      <x:c r="M227" s="5"/>
      <x:c r="N227" s="5"/>
      <x:c r="O227" s="14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5"/>
      <x:c r="AD227" s="5"/>
      <x:c r="AE227" s="5"/>
      <x:c r="AF227" s="5"/>
      <x:c r="AG227" s="5"/>
      <x:c r="AH227" s="5"/>
      <x:c r="AI227" s="5"/>
      <x:c r="AJ227" s="5"/>
      <x:c r="AK227" s="5"/>
      <x:c r="AL227" s="5"/>
      <x:c r="AM227" s="5"/>
      <x:c r="AN227" s="5"/>
      <x:c r="AO227" s="5"/>
      <x:c r="AP227" s="5"/>
      <x:c r="AQ227" s="5"/>
      <x:c r="AR227" s="5"/>
      <x:c r="AS227" s="5"/>
      <x:c r="AT227" s="5"/>
      <x:c r="AU227" s="5"/>
      <x:c r="AV227" s="5"/>
      <x:c r="AW227" s="5"/>
      <x:c r="AX227" s="5"/>
      <x:c r="AY227" s="5"/>
      <x:c r="AZ227" s="5"/>
    </x:row>
    <x:row r="228" spans="1:52">
      <x:c r="A228" s="11"/>
      <x:c r="B228" s="11"/>
      <x:c r="C228" s="11"/>
      <x:c r="D228" s="5"/>
      <x:c r="E228" s="5"/>
      <x:c r="F228" s="1"/>
      <x:c r="G228" s="1"/>
      <x:c r="H228" s="12"/>
      <x:c r="I228" s="12"/>
      <x:c r="J228" s="11"/>
      <x:c r="K228" s="13"/>
      <x:c r="L228" s="13"/>
      <x:c r="M228" s="5"/>
      <x:c r="N228" s="5"/>
      <x:c r="O228" s="14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  <x:c r="AA228" s="5"/>
      <x:c r="AB228" s="5"/>
      <x:c r="AC228" s="5"/>
      <x:c r="AD228" s="5"/>
      <x:c r="AE228" s="5"/>
      <x:c r="AF228" s="5"/>
      <x:c r="AG228" s="5"/>
      <x:c r="AH228" s="5"/>
      <x:c r="AI228" s="5"/>
      <x:c r="AJ228" s="5"/>
      <x:c r="AK228" s="5"/>
      <x:c r="AL228" s="5"/>
      <x:c r="AM228" s="5"/>
      <x:c r="AN228" s="5"/>
      <x:c r="AO228" s="5"/>
      <x:c r="AP228" s="5"/>
      <x:c r="AQ228" s="5"/>
      <x:c r="AR228" s="5"/>
      <x:c r="AS228" s="5"/>
      <x:c r="AT228" s="5"/>
      <x:c r="AU228" s="5"/>
      <x:c r="AV228" s="5"/>
      <x:c r="AW228" s="5"/>
      <x:c r="AX228" s="5"/>
      <x:c r="AY228" s="5"/>
      <x:c r="AZ228" s="5"/>
    </x:row>
    <x:row r="229" spans="1:52">
      <x:c r="A229" s="11"/>
      <x:c r="B229" s="11"/>
      <x:c r="C229" s="11"/>
      <x:c r="D229" s="5"/>
      <x:c r="E229" s="5"/>
      <x:c r="F229" s="1"/>
      <x:c r="G229" s="1"/>
      <x:c r="H229" s="12"/>
      <x:c r="I229" s="12"/>
      <x:c r="J229" s="11"/>
      <x:c r="K229" s="13"/>
      <x:c r="L229" s="13"/>
      <x:c r="M229" s="5"/>
      <x:c r="N229" s="5"/>
      <x:c r="O229" s="14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5"/>
      <x:c r="AD229" s="5"/>
      <x:c r="AE229" s="5"/>
      <x:c r="AF229" s="5"/>
      <x:c r="AG229" s="5"/>
      <x:c r="AH229" s="5"/>
      <x:c r="AI229" s="5"/>
      <x:c r="AJ229" s="5"/>
      <x:c r="AK229" s="5"/>
      <x:c r="AL229" s="5"/>
      <x:c r="AM229" s="5"/>
      <x:c r="AN229" s="5"/>
      <x:c r="AO229" s="5"/>
      <x:c r="AP229" s="5"/>
      <x:c r="AQ229" s="5"/>
      <x:c r="AR229" s="5"/>
      <x:c r="AS229" s="5"/>
      <x:c r="AT229" s="5"/>
      <x:c r="AU229" s="5"/>
      <x:c r="AV229" s="5"/>
      <x:c r="AW229" s="5"/>
      <x:c r="AX229" s="5"/>
      <x:c r="AY229" s="5"/>
      <x:c r="AZ229" s="5"/>
    </x:row>
    <x:row r="230" spans="1:52">
      <x:c r="A230" s="11"/>
      <x:c r="B230" s="11"/>
      <x:c r="C230" s="11"/>
      <x:c r="D230" s="5"/>
      <x:c r="E230" s="5"/>
      <x:c r="F230" s="1"/>
      <x:c r="G230" s="1"/>
      <x:c r="H230" s="12"/>
      <x:c r="I230" s="12"/>
      <x:c r="J230" s="11"/>
      <x:c r="K230" s="13"/>
      <x:c r="L230" s="13"/>
      <x:c r="M230" s="5"/>
      <x:c r="N230" s="5"/>
      <x:c r="O230" s="14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5"/>
      <x:c r="AD230" s="5"/>
      <x:c r="AE230" s="5"/>
      <x:c r="AF230" s="5"/>
      <x:c r="AG230" s="5"/>
      <x:c r="AH230" s="5"/>
      <x:c r="AI230" s="5"/>
      <x:c r="AJ230" s="5"/>
      <x:c r="AK230" s="5"/>
      <x:c r="AL230" s="5"/>
      <x:c r="AM230" s="5"/>
      <x:c r="AN230" s="5"/>
      <x:c r="AO230" s="5"/>
      <x:c r="AP230" s="5"/>
      <x:c r="AQ230" s="5"/>
      <x:c r="AR230" s="5"/>
      <x:c r="AS230" s="5"/>
      <x:c r="AT230" s="5"/>
      <x:c r="AU230" s="5"/>
      <x:c r="AV230" s="5"/>
      <x:c r="AW230" s="5"/>
      <x:c r="AX230" s="5"/>
      <x:c r="AY230" s="5"/>
      <x:c r="AZ230" s="5"/>
    </x:row>
    <x:row r="231" spans="1:52">
      <x:c r="A231" s="11"/>
      <x:c r="B231" s="11"/>
      <x:c r="C231" s="11"/>
      <x:c r="D231" s="5"/>
      <x:c r="E231" s="5"/>
      <x:c r="F231" s="1"/>
      <x:c r="G231" s="1"/>
      <x:c r="H231" s="12"/>
      <x:c r="I231" s="12"/>
      <x:c r="J231" s="11"/>
      <x:c r="K231" s="13"/>
      <x:c r="L231" s="13"/>
      <x:c r="M231" s="5"/>
      <x:c r="N231" s="5"/>
      <x:c r="O231" s="14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5"/>
      <x:c r="AD231" s="5"/>
      <x:c r="AE231" s="5"/>
      <x:c r="AF231" s="5"/>
      <x:c r="AG231" s="5"/>
      <x:c r="AH231" s="5"/>
      <x:c r="AI231" s="5"/>
      <x:c r="AJ231" s="5"/>
      <x:c r="AK231" s="5"/>
      <x:c r="AL231" s="5"/>
      <x:c r="AM231" s="5"/>
      <x:c r="AN231" s="5"/>
      <x:c r="AO231" s="5"/>
      <x:c r="AP231" s="5"/>
      <x:c r="AQ231" s="5"/>
      <x:c r="AR231" s="5"/>
      <x:c r="AS231" s="5"/>
      <x:c r="AT231" s="5"/>
      <x:c r="AU231" s="5"/>
      <x:c r="AV231" s="5"/>
      <x:c r="AW231" s="5"/>
      <x:c r="AX231" s="5"/>
      <x:c r="AY231" s="5"/>
      <x:c r="AZ231" s="5"/>
    </x:row>
    <x:row r="232" spans="1:52">
      <x:c r="A232" s="11"/>
      <x:c r="B232" s="11"/>
      <x:c r="C232" s="11"/>
      <x:c r="D232" s="5"/>
      <x:c r="E232" s="5"/>
      <x:c r="F232" s="1"/>
      <x:c r="G232" s="1"/>
      <x:c r="H232" s="12"/>
      <x:c r="I232" s="12"/>
      <x:c r="J232" s="11"/>
      <x:c r="K232" s="13"/>
      <x:c r="L232" s="13"/>
      <x:c r="M232" s="5"/>
      <x:c r="N232" s="5"/>
      <x:c r="O232" s="14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  <x:c r="AA232" s="5"/>
      <x:c r="AB232" s="5"/>
      <x:c r="AC232" s="5"/>
      <x:c r="AD232" s="5"/>
      <x:c r="AE232" s="5"/>
      <x:c r="AF232" s="5"/>
      <x:c r="AG232" s="5"/>
      <x:c r="AH232" s="5"/>
      <x:c r="AI232" s="5"/>
      <x:c r="AJ232" s="5"/>
      <x:c r="AK232" s="5"/>
      <x:c r="AL232" s="5"/>
      <x:c r="AM232" s="5"/>
      <x:c r="AN232" s="5"/>
      <x:c r="AO232" s="5"/>
      <x:c r="AP232" s="5"/>
      <x:c r="AQ232" s="5"/>
      <x:c r="AR232" s="5"/>
      <x:c r="AS232" s="5"/>
      <x:c r="AT232" s="5"/>
      <x:c r="AU232" s="5"/>
      <x:c r="AV232" s="5"/>
      <x:c r="AW232" s="5"/>
      <x:c r="AX232" s="5"/>
      <x:c r="AY232" s="5"/>
      <x:c r="AZ232" s="5"/>
    </x:row>
    <x:row r="233" spans="1:52">
      <x:c r="A233" s="11"/>
      <x:c r="B233" s="11"/>
      <x:c r="C233" s="11"/>
      <x:c r="D233" s="5"/>
      <x:c r="E233" s="5"/>
      <x:c r="F233" s="1"/>
      <x:c r="G233" s="1"/>
      <x:c r="H233" s="12"/>
      <x:c r="I233" s="12"/>
      <x:c r="J233" s="11"/>
      <x:c r="K233" s="13"/>
      <x:c r="L233" s="13"/>
      <x:c r="M233" s="5"/>
      <x:c r="N233" s="5"/>
      <x:c r="O233" s="14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5"/>
      <x:c r="AD233" s="5"/>
      <x:c r="AE233" s="5"/>
      <x:c r="AF233" s="5"/>
      <x:c r="AG233" s="5"/>
      <x:c r="AH233" s="5"/>
      <x:c r="AI233" s="5"/>
      <x:c r="AJ233" s="5"/>
      <x:c r="AK233" s="5"/>
      <x:c r="AL233" s="5"/>
      <x:c r="AM233" s="5"/>
      <x:c r="AN233" s="5"/>
      <x:c r="AO233" s="5"/>
      <x:c r="AP233" s="5"/>
      <x:c r="AQ233" s="5"/>
      <x:c r="AR233" s="5"/>
      <x:c r="AS233" s="5"/>
      <x:c r="AT233" s="5"/>
      <x:c r="AU233" s="5"/>
      <x:c r="AV233" s="5"/>
      <x:c r="AW233" s="5"/>
      <x:c r="AX233" s="5"/>
      <x:c r="AY233" s="5"/>
      <x:c r="AZ233" s="5"/>
    </x:row>
    <x:row r="234" spans="1:52">
      <x:c r="A234" s="11"/>
      <x:c r="B234" s="11"/>
      <x:c r="C234" s="11"/>
      <x:c r="D234" s="5"/>
      <x:c r="E234" s="5"/>
      <x:c r="F234" s="1"/>
      <x:c r="G234" s="1"/>
      <x:c r="H234" s="12"/>
      <x:c r="I234" s="12"/>
      <x:c r="J234" s="11"/>
      <x:c r="K234" s="13"/>
      <x:c r="L234" s="13"/>
      <x:c r="M234" s="5"/>
      <x:c r="N234" s="5"/>
      <x:c r="O234" s="14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5"/>
      <x:c r="AD234" s="5"/>
      <x:c r="AE234" s="5"/>
      <x:c r="AF234" s="5"/>
      <x:c r="AG234" s="5"/>
      <x:c r="AH234" s="5"/>
      <x:c r="AI234" s="5"/>
      <x:c r="AJ234" s="5"/>
      <x:c r="AK234" s="5"/>
      <x:c r="AL234" s="5"/>
      <x:c r="AM234" s="5"/>
      <x:c r="AN234" s="5"/>
      <x:c r="AO234" s="5"/>
      <x:c r="AP234" s="5"/>
      <x:c r="AQ234" s="5"/>
      <x:c r="AR234" s="5"/>
      <x:c r="AS234" s="5"/>
      <x:c r="AT234" s="5"/>
      <x:c r="AU234" s="5"/>
      <x:c r="AV234" s="5"/>
      <x:c r="AW234" s="5"/>
      <x:c r="AX234" s="5"/>
      <x:c r="AY234" s="5"/>
      <x:c r="AZ234" s="5"/>
    </x:row>
    <x:row r="235" spans="1:52">
      <x:c r="A235" s="11"/>
      <x:c r="B235" s="11"/>
      <x:c r="C235" s="11"/>
      <x:c r="D235" s="5"/>
      <x:c r="E235" s="5"/>
      <x:c r="F235" s="1"/>
      <x:c r="G235" s="1"/>
      <x:c r="H235" s="12"/>
      <x:c r="I235" s="12"/>
      <x:c r="J235" s="11"/>
      <x:c r="K235" s="13"/>
      <x:c r="L235" s="13"/>
      <x:c r="M235" s="5"/>
      <x:c r="N235" s="5"/>
      <x:c r="O235" s="14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  <x:c r="AQ235" s="5"/>
      <x:c r="AR235" s="5"/>
      <x:c r="AS235" s="5"/>
      <x:c r="AT235" s="5"/>
      <x:c r="AU235" s="5"/>
      <x:c r="AV235" s="5"/>
      <x:c r="AW235" s="5"/>
      <x:c r="AX235" s="5"/>
      <x:c r="AY235" s="5"/>
      <x:c r="AZ235" s="5"/>
    </x:row>
    <x:row r="236" spans="1:52">
      <x:c r="A236" s="11"/>
      <x:c r="B236" s="11"/>
      <x:c r="C236" s="11"/>
      <x:c r="D236" s="5"/>
      <x:c r="E236" s="5"/>
      <x:c r="F236" s="1"/>
      <x:c r="G236" s="1"/>
      <x:c r="H236" s="12"/>
      <x:c r="I236" s="12"/>
      <x:c r="J236" s="11"/>
      <x:c r="K236" s="13"/>
      <x:c r="L236" s="13"/>
      <x:c r="M236" s="5"/>
      <x:c r="N236" s="5"/>
      <x:c r="O236" s="14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  <x:c r="AQ236" s="5"/>
      <x:c r="AR236" s="5"/>
      <x:c r="AS236" s="5"/>
      <x:c r="AT236" s="5"/>
      <x:c r="AU236" s="5"/>
      <x:c r="AV236" s="5"/>
      <x:c r="AW236" s="5"/>
      <x:c r="AX236" s="5"/>
      <x:c r="AY236" s="5"/>
      <x:c r="AZ236" s="5"/>
    </x:row>
    <x:row r="237" spans="1:52">
      <x:c r="A237" s="11"/>
      <x:c r="B237" s="11"/>
      <x:c r="C237" s="11"/>
      <x:c r="D237" s="5"/>
      <x:c r="E237" s="5"/>
      <x:c r="F237" s="1"/>
      <x:c r="G237" s="1"/>
      <x:c r="H237" s="12"/>
      <x:c r="I237" s="12"/>
      <x:c r="J237" s="11"/>
      <x:c r="K237" s="13"/>
      <x:c r="L237" s="13"/>
      <x:c r="M237" s="5"/>
      <x:c r="N237" s="5"/>
      <x:c r="O237" s="14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  <x:c r="AQ237" s="5"/>
      <x:c r="AR237" s="5"/>
      <x:c r="AS237" s="5"/>
      <x:c r="AT237" s="5"/>
      <x:c r="AU237" s="5"/>
      <x:c r="AV237" s="5"/>
      <x:c r="AW237" s="5"/>
      <x:c r="AX237" s="5"/>
      <x:c r="AY237" s="5"/>
      <x:c r="AZ237" s="5"/>
    </x:row>
    <x:row r="238" spans="1:52">
      <x:c r="A238" s="11"/>
      <x:c r="B238" s="11"/>
      <x:c r="C238" s="11"/>
      <x:c r="D238" s="5"/>
      <x:c r="E238" s="5"/>
      <x:c r="F238" s="1"/>
      <x:c r="G238" s="1"/>
      <x:c r="H238" s="12"/>
      <x:c r="I238" s="12"/>
      <x:c r="J238" s="11"/>
      <x:c r="K238" s="13"/>
      <x:c r="L238" s="13"/>
      <x:c r="M238" s="5"/>
      <x:c r="N238" s="5"/>
      <x:c r="O238" s="14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  <x:c r="AQ238" s="5"/>
      <x:c r="AR238" s="5"/>
      <x:c r="AS238" s="5"/>
      <x:c r="AT238" s="5"/>
      <x:c r="AU238" s="5"/>
      <x:c r="AV238" s="5"/>
      <x:c r="AW238" s="5"/>
      <x:c r="AX238" s="5"/>
      <x:c r="AY238" s="5"/>
      <x:c r="AZ238" s="5"/>
    </x:row>
    <x:row r="239" spans="1:52">
      <x:c r="A239" s="11"/>
      <x:c r="B239" s="11"/>
      <x:c r="C239" s="11"/>
      <x:c r="D239" s="5"/>
      <x:c r="E239" s="5"/>
      <x:c r="F239" s="1"/>
      <x:c r="G239" s="1"/>
      <x:c r="H239" s="12"/>
      <x:c r="I239" s="12"/>
      <x:c r="J239" s="11"/>
      <x:c r="K239" s="13"/>
      <x:c r="L239" s="13"/>
      <x:c r="M239" s="5"/>
      <x:c r="N239" s="5"/>
      <x:c r="O239" s="14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  <x:c r="AQ239" s="5"/>
      <x:c r="AR239" s="5"/>
      <x:c r="AS239" s="5"/>
      <x:c r="AT239" s="5"/>
      <x:c r="AU239" s="5"/>
      <x:c r="AV239" s="5"/>
      <x:c r="AW239" s="5"/>
      <x:c r="AX239" s="5"/>
      <x:c r="AY239" s="5"/>
      <x:c r="AZ239" s="5"/>
    </x:row>
    <x:row r="240" spans="1:52">
      <x:c r="A240" s="11"/>
      <x:c r="B240" s="11"/>
      <x:c r="C240" s="11"/>
      <x:c r="D240" s="5"/>
      <x:c r="E240" s="5"/>
      <x:c r="F240" s="1"/>
      <x:c r="G240" s="1"/>
      <x:c r="H240" s="12"/>
      <x:c r="I240" s="12"/>
      <x:c r="J240" s="11"/>
      <x:c r="K240" s="13"/>
      <x:c r="L240" s="13"/>
      <x:c r="M240" s="5"/>
      <x:c r="N240" s="5"/>
      <x:c r="O240" s="14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5"/>
      <x:c r="AD240" s="5"/>
      <x:c r="AE240" s="5"/>
      <x:c r="AF240" s="5"/>
      <x:c r="AG240" s="5"/>
      <x:c r="AH240" s="5"/>
      <x:c r="AI240" s="5"/>
      <x:c r="AJ240" s="5"/>
      <x:c r="AK240" s="5"/>
      <x:c r="AL240" s="5"/>
      <x:c r="AM240" s="5"/>
      <x:c r="AN240" s="5"/>
      <x:c r="AO240" s="5"/>
      <x:c r="AP240" s="5"/>
      <x:c r="AQ240" s="5"/>
      <x:c r="AR240" s="5"/>
      <x:c r="AS240" s="5"/>
      <x:c r="AT240" s="5"/>
      <x:c r="AU240" s="5"/>
      <x:c r="AV240" s="5"/>
      <x:c r="AW240" s="5"/>
      <x:c r="AX240" s="5"/>
      <x:c r="AY240" s="5"/>
      <x:c r="AZ240" s="5"/>
    </x:row>
    <x:row r="241" spans="1:52">
      <x:c r="A241" s="11"/>
      <x:c r="B241" s="11"/>
      <x:c r="C241" s="11"/>
      <x:c r="D241" s="5"/>
      <x:c r="E241" s="5"/>
      <x:c r="F241" s="1"/>
      <x:c r="G241" s="1"/>
      <x:c r="H241" s="12"/>
      <x:c r="I241" s="12"/>
      <x:c r="J241" s="11"/>
      <x:c r="K241" s="13"/>
      <x:c r="L241" s="13"/>
      <x:c r="M241" s="5"/>
      <x:c r="N241" s="5"/>
      <x:c r="O241" s="14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  <x:c r="AQ241" s="5"/>
      <x:c r="AR241" s="5"/>
      <x:c r="AS241" s="5"/>
      <x:c r="AT241" s="5"/>
      <x:c r="AU241" s="5"/>
      <x:c r="AV241" s="5"/>
      <x:c r="AW241" s="5"/>
      <x:c r="AX241" s="5"/>
      <x:c r="AY241" s="5"/>
      <x:c r="AZ241" s="5"/>
    </x:row>
    <x:row r="242" spans="1:52">
      <x:c r="A242" s="11"/>
      <x:c r="B242" s="11"/>
      <x:c r="C242" s="11"/>
      <x:c r="D242" s="5"/>
      <x:c r="E242" s="5"/>
      <x:c r="F242" s="1"/>
      <x:c r="G242" s="1"/>
      <x:c r="H242" s="12"/>
      <x:c r="I242" s="12"/>
      <x:c r="J242" s="11"/>
      <x:c r="K242" s="13"/>
      <x:c r="L242" s="13"/>
      <x:c r="M242" s="5"/>
      <x:c r="N242" s="5"/>
      <x:c r="O242" s="14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  <x:c r="AQ242" s="5"/>
      <x:c r="AR242" s="5"/>
      <x:c r="AS242" s="5"/>
      <x:c r="AT242" s="5"/>
      <x:c r="AU242" s="5"/>
      <x:c r="AV242" s="5"/>
      <x:c r="AW242" s="5"/>
      <x:c r="AX242" s="5"/>
      <x:c r="AY242" s="5"/>
      <x:c r="AZ242" s="5"/>
    </x:row>
    <x:row r="243" spans="1:52">
      <x:c r="A243" s="11"/>
      <x:c r="B243" s="11"/>
      <x:c r="C243" s="11"/>
      <x:c r="D243" s="5"/>
      <x:c r="E243" s="5"/>
      <x:c r="F243" s="1"/>
      <x:c r="G243" s="1"/>
      <x:c r="H243" s="12"/>
      <x:c r="I243" s="12"/>
      <x:c r="J243" s="11"/>
      <x:c r="K243" s="13"/>
      <x:c r="L243" s="13"/>
      <x:c r="M243" s="5"/>
      <x:c r="N243" s="5"/>
      <x:c r="O243" s="14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  <x:c r="AQ243" s="5"/>
      <x:c r="AR243" s="5"/>
      <x:c r="AS243" s="5"/>
      <x:c r="AT243" s="5"/>
      <x:c r="AU243" s="5"/>
      <x:c r="AV243" s="5"/>
      <x:c r="AW243" s="5"/>
      <x:c r="AX243" s="5"/>
      <x:c r="AY243" s="5"/>
      <x:c r="AZ243" s="5"/>
    </x:row>
    <x:row r="244" spans="1:52">
      <x:c r="A244" s="11"/>
      <x:c r="B244" s="11"/>
      <x:c r="C244" s="11"/>
      <x:c r="D244" s="5"/>
      <x:c r="E244" s="5"/>
      <x:c r="F244" s="1"/>
      <x:c r="G244" s="1"/>
      <x:c r="H244" s="12"/>
      <x:c r="I244" s="12"/>
      <x:c r="J244" s="11"/>
      <x:c r="K244" s="13"/>
      <x:c r="L244" s="13"/>
      <x:c r="M244" s="5"/>
      <x:c r="N244" s="5"/>
      <x:c r="O244" s="14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5"/>
      <x:c r="AD244" s="5"/>
      <x:c r="AE244" s="5"/>
      <x:c r="AF244" s="5"/>
      <x:c r="AG244" s="5"/>
      <x:c r="AH244" s="5"/>
      <x:c r="AI244" s="5"/>
      <x:c r="AJ244" s="5"/>
      <x:c r="AK244" s="5"/>
      <x:c r="AL244" s="5"/>
      <x:c r="AM244" s="5"/>
      <x:c r="AN244" s="5"/>
      <x:c r="AO244" s="5"/>
      <x:c r="AP244" s="5"/>
      <x:c r="AQ244" s="5"/>
      <x:c r="AR244" s="5"/>
      <x:c r="AS244" s="5"/>
      <x:c r="AT244" s="5"/>
      <x:c r="AU244" s="5"/>
      <x:c r="AV244" s="5"/>
      <x:c r="AW244" s="5"/>
      <x:c r="AX244" s="5"/>
      <x:c r="AY244" s="5"/>
      <x:c r="AZ244" s="5"/>
    </x:row>
    <x:row r="245" spans="1:52">
      <x:c r="A245" s="11"/>
      <x:c r="B245" s="11"/>
      <x:c r="C245" s="11"/>
      <x:c r="D245" s="5"/>
      <x:c r="E245" s="5"/>
      <x:c r="F245" s="1"/>
      <x:c r="G245" s="1"/>
      <x:c r="H245" s="12"/>
      <x:c r="I245" s="12"/>
      <x:c r="J245" s="11"/>
      <x:c r="K245" s="13"/>
      <x:c r="L245" s="13"/>
      <x:c r="M245" s="5"/>
      <x:c r="N245" s="5"/>
      <x:c r="O245" s="14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5"/>
      <x:c r="AD245" s="5"/>
      <x:c r="AE245" s="5"/>
      <x:c r="AF245" s="5"/>
      <x:c r="AG245" s="5"/>
      <x:c r="AH245" s="5"/>
      <x:c r="AI245" s="5"/>
      <x:c r="AJ245" s="5"/>
      <x:c r="AK245" s="5"/>
      <x:c r="AL245" s="5"/>
      <x:c r="AM245" s="5"/>
      <x:c r="AN245" s="5"/>
      <x:c r="AO245" s="5"/>
      <x:c r="AP245" s="5"/>
      <x:c r="AQ245" s="5"/>
      <x:c r="AR245" s="5"/>
      <x:c r="AS245" s="5"/>
      <x:c r="AT245" s="5"/>
      <x:c r="AU245" s="5"/>
      <x:c r="AV245" s="5"/>
      <x:c r="AW245" s="5"/>
      <x:c r="AX245" s="5"/>
      <x:c r="AY245" s="5"/>
      <x:c r="AZ245" s="5"/>
    </x:row>
    <x:row r="246" spans="1:52">
      <x:c r="A246" s="5"/>
      <x:c r="B246" s="5"/>
      <x:c r="C246" s="5"/>
      <x:c r="D246" s="5"/>
      <x:c r="E246" s="5"/>
      <x:c r="F246" s="20"/>
      <x:c r="G246" s="20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  <x:c r="AQ246" s="5"/>
      <x:c r="AR246" s="5"/>
      <x:c r="AS246" s="5"/>
      <x:c r="AT246" s="5"/>
      <x:c r="AU246" s="5"/>
      <x:c r="AV246" s="5"/>
      <x:c r="AW246" s="5"/>
      <x:c r="AX246" s="5"/>
      <x:c r="AY246" s="5"/>
      <x:c r="AZ246" s="5"/>
    </x:row>
    <x:row r="247" spans="1:52">
      <x:c r="A247" s="5"/>
      <x:c r="B247" s="5"/>
      <x:c r="C247" s="5"/>
      <x:c r="D247" s="5"/>
      <x:c r="E247" s="5"/>
      <x:c r="F247" s="20"/>
      <x:c r="G247" s="20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5"/>
      <x:c r="AD247" s="5"/>
      <x:c r="AE247" s="5"/>
      <x:c r="AF247" s="5"/>
      <x:c r="AG247" s="5"/>
      <x:c r="AH247" s="5"/>
      <x:c r="AI247" s="5"/>
      <x:c r="AJ247" s="5"/>
      <x:c r="AK247" s="5"/>
      <x:c r="AL247" s="5"/>
      <x:c r="AM247" s="5"/>
      <x:c r="AN247" s="5"/>
      <x:c r="AO247" s="5"/>
      <x:c r="AP247" s="5"/>
      <x:c r="AQ247" s="5"/>
      <x:c r="AR247" s="5"/>
      <x:c r="AS247" s="5"/>
      <x:c r="AT247" s="5"/>
      <x:c r="AU247" s="5"/>
      <x:c r="AV247" s="5"/>
      <x:c r="AW247" s="5"/>
      <x:c r="AX247" s="5"/>
      <x:c r="AY247" s="5"/>
      <x:c r="AZ247" s="5"/>
    </x:row>
    <x:row r="248" spans="1:52">
      <x:c r="A248" s="5"/>
      <x:c r="B248" s="5"/>
      <x:c r="C248" s="5"/>
      <x:c r="D248" s="5"/>
      <x:c r="E248" s="5"/>
      <x:c r="F248" s="20"/>
      <x:c r="G248" s="20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  <x:c r="AQ248" s="5"/>
      <x:c r="AR248" s="5"/>
      <x:c r="AS248" s="5"/>
      <x:c r="AT248" s="5"/>
      <x:c r="AU248" s="5"/>
      <x:c r="AV248" s="5"/>
      <x:c r="AW248" s="5"/>
      <x:c r="AX248" s="5"/>
      <x:c r="AY248" s="5"/>
      <x:c r="AZ248" s="5"/>
    </x:row>
    <x:row r="249" spans="1:52">
      <x:c r="A249" s="5"/>
      <x:c r="B249" s="5"/>
      <x:c r="C249" s="5"/>
      <x:c r="D249" s="5"/>
      <x:c r="E249" s="5"/>
      <x:c r="F249" s="20"/>
      <x:c r="G249" s="20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  <x:c r="AQ249" s="5"/>
      <x:c r="AR249" s="5"/>
      <x:c r="AS249" s="5"/>
      <x:c r="AT249" s="5"/>
      <x:c r="AU249" s="5"/>
      <x:c r="AV249" s="5"/>
      <x:c r="AW249" s="5"/>
      <x:c r="AX249" s="5"/>
      <x:c r="AY249" s="5"/>
      <x:c r="AZ249" s="5"/>
    </x:row>
    <x:row r="250" spans="1:52">
      <x:c r="A250" s="5"/>
      <x:c r="B250" s="5"/>
      <x:c r="C250" s="5"/>
      <x:c r="D250" s="5"/>
      <x:c r="E250" s="5"/>
      <x:c r="F250" s="20"/>
      <x:c r="G250" s="20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  <x:c r="AQ250" s="5"/>
      <x:c r="AR250" s="5"/>
      <x:c r="AS250" s="5"/>
      <x:c r="AT250" s="5"/>
      <x:c r="AU250" s="5"/>
      <x:c r="AV250" s="5"/>
      <x:c r="AW250" s="5"/>
      <x:c r="AX250" s="5"/>
      <x:c r="AY250" s="5"/>
      <x:c r="AZ250" s="5"/>
    </x:row>
    <x:row r="251" spans="1:52">
      <x:c r="A251" s="5"/>
      <x:c r="B251" s="5"/>
      <x:c r="C251" s="5"/>
      <x:c r="D251" s="5"/>
      <x:c r="E251" s="5"/>
      <x:c r="F251" s="20"/>
      <x:c r="G251" s="20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/>
      <x:c r="AL251" s="5"/>
      <x:c r="AM251" s="5"/>
      <x:c r="AN251" s="5"/>
      <x:c r="AO251" s="5"/>
      <x:c r="AP251" s="5"/>
      <x:c r="AQ251" s="5"/>
      <x:c r="AR251" s="5"/>
      <x:c r="AS251" s="5"/>
      <x:c r="AT251" s="5"/>
      <x:c r="AU251" s="5"/>
      <x:c r="AV251" s="5"/>
      <x:c r="AW251" s="5"/>
      <x:c r="AX251" s="5"/>
      <x:c r="AY251" s="5"/>
      <x:c r="AZ251" s="5"/>
    </x:row>
    <x:row r="252" spans="1:52">
      <x:c r="A252" s="5"/>
      <x:c r="B252" s="5"/>
      <x:c r="C252" s="5"/>
      <x:c r="D252" s="5"/>
      <x:c r="E252" s="5"/>
      <x:c r="F252" s="20"/>
      <x:c r="G252" s="20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  <x:c r="AQ252" s="5"/>
      <x:c r="AR252" s="5"/>
      <x:c r="AS252" s="5"/>
      <x:c r="AT252" s="5"/>
      <x:c r="AU252" s="5"/>
      <x:c r="AV252" s="5"/>
      <x:c r="AW252" s="5"/>
      <x:c r="AX252" s="5"/>
      <x:c r="AY252" s="5"/>
      <x:c r="AZ252" s="5"/>
    </x:row>
    <x:row r="253" spans="1:52">
      <x:c r="A253" s="5"/>
      <x:c r="B253" s="5"/>
      <x:c r="C253" s="5"/>
      <x:c r="D253" s="5"/>
      <x:c r="E253" s="5"/>
      <x:c r="F253" s="20"/>
      <x:c r="G253" s="20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  <x:c r="AQ253" s="5"/>
      <x:c r="AR253" s="5"/>
      <x:c r="AS253" s="5"/>
      <x:c r="AT253" s="5"/>
      <x:c r="AU253" s="5"/>
      <x:c r="AV253" s="5"/>
      <x:c r="AW253" s="5"/>
      <x:c r="AX253" s="5"/>
      <x:c r="AY253" s="5"/>
      <x:c r="AZ253" s="5"/>
    </x:row>
    <x:row r="254" spans="1:52">
      <x:c r="A254" s="5"/>
      <x:c r="B254" s="5"/>
      <x:c r="C254" s="5"/>
      <x:c r="D254" s="5"/>
      <x:c r="E254" s="5"/>
      <x:c r="F254" s="20"/>
      <x:c r="G254" s="20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  <x:c r="AQ254" s="5"/>
      <x:c r="AR254" s="5"/>
      <x:c r="AS254" s="5"/>
      <x:c r="AT254" s="5"/>
      <x:c r="AU254" s="5"/>
      <x:c r="AV254" s="5"/>
      <x:c r="AW254" s="5"/>
      <x:c r="AX254" s="5"/>
      <x:c r="AY254" s="5"/>
      <x:c r="AZ254" s="5"/>
    </x:row>
    <x:row r="255" spans="1:52">
      <x:c r="A255" s="5"/>
      <x:c r="B255" s="5"/>
      <x:c r="C255" s="5"/>
      <x:c r="D255" s="5"/>
      <x:c r="E255" s="5"/>
      <x:c r="F255" s="20"/>
      <x:c r="G255" s="20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  <x:c r="AQ255" s="5"/>
      <x:c r="AR255" s="5"/>
      <x:c r="AS255" s="5"/>
      <x:c r="AT255" s="5"/>
      <x:c r="AU255" s="5"/>
      <x:c r="AV255" s="5"/>
      <x:c r="AW255" s="5"/>
      <x:c r="AX255" s="5"/>
      <x:c r="AY255" s="5"/>
      <x:c r="AZ255" s="5"/>
    </x:row>
    <x:row r="256" spans="1:52">
      <x:c r="A256" s="5"/>
      <x:c r="B256" s="5"/>
      <x:c r="C256" s="5"/>
      <x:c r="D256" s="5"/>
      <x:c r="E256" s="5"/>
      <x:c r="F256" s="20"/>
      <x:c r="G256" s="20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5"/>
      <x:c r="AD256" s="5"/>
      <x:c r="AE256" s="5"/>
      <x:c r="AF256" s="5"/>
      <x:c r="AG256" s="5"/>
      <x:c r="AH256" s="5"/>
      <x:c r="AI256" s="5"/>
      <x:c r="AJ256" s="5"/>
      <x:c r="AK256" s="5"/>
      <x:c r="AL256" s="5"/>
      <x:c r="AM256" s="5"/>
      <x:c r="AN256" s="5"/>
      <x:c r="AO256" s="5"/>
      <x:c r="AP256" s="5"/>
      <x:c r="AQ256" s="5"/>
      <x:c r="AR256" s="5"/>
      <x:c r="AS256" s="5"/>
      <x:c r="AT256" s="5"/>
      <x:c r="AU256" s="5"/>
      <x:c r="AV256" s="5"/>
      <x:c r="AW256" s="5"/>
      <x:c r="AX256" s="5"/>
      <x:c r="AY256" s="5"/>
      <x:c r="AZ256" s="5"/>
    </x:row>
    <x:row r="257" spans="1:52">
      <x:c r="A257" s="5"/>
      <x:c r="B257" s="5"/>
      <x:c r="C257" s="5"/>
      <x:c r="D257" s="5"/>
      <x:c r="E257" s="5"/>
      <x:c r="F257" s="20"/>
      <x:c r="G257" s="20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5"/>
      <x:c r="AE257" s="5"/>
      <x:c r="AF257" s="5"/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  <x:c r="AQ257" s="5"/>
      <x:c r="AR257" s="5"/>
      <x:c r="AS257" s="5"/>
      <x:c r="AT257" s="5"/>
      <x:c r="AU257" s="5"/>
      <x:c r="AV257" s="5"/>
      <x:c r="AW257" s="5"/>
      <x:c r="AX257" s="5"/>
      <x:c r="AY257" s="5"/>
      <x:c r="AZ257" s="5"/>
    </x:row>
    <x:row r="258" spans="1:52">
      <x:c r="A258" s="5"/>
      <x:c r="B258" s="5"/>
      <x:c r="C258" s="5"/>
      <x:c r="D258" s="5"/>
      <x:c r="E258" s="5"/>
      <x:c r="F258" s="20"/>
      <x:c r="G258" s="20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  <x:c r="AQ258" s="5"/>
      <x:c r="AR258" s="5"/>
      <x:c r="AS258" s="5"/>
      <x:c r="AT258" s="5"/>
      <x:c r="AU258" s="5"/>
      <x:c r="AV258" s="5"/>
      <x:c r="AW258" s="5"/>
      <x:c r="AX258" s="5"/>
      <x:c r="AY258" s="5"/>
      <x:c r="AZ258" s="5"/>
    </x:row>
    <x:row r="259" spans="1:52">
      <x:c r="A259" s="5"/>
      <x:c r="B259" s="5"/>
      <x:c r="C259" s="5"/>
      <x:c r="D259" s="5"/>
      <x:c r="E259" s="5"/>
      <x:c r="F259" s="20"/>
      <x:c r="G259" s="20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  <x:c r="AQ259" s="5"/>
      <x:c r="AR259" s="5"/>
      <x:c r="AS259" s="5"/>
      <x:c r="AT259" s="5"/>
      <x:c r="AU259" s="5"/>
      <x:c r="AV259" s="5"/>
      <x:c r="AW259" s="5"/>
      <x:c r="AX259" s="5"/>
      <x:c r="AY259" s="5"/>
      <x:c r="AZ259" s="5"/>
    </x:row>
    <x:row r="260" spans="1:52">
      <x:c r="A260" s="5"/>
      <x:c r="B260" s="5"/>
      <x:c r="C260" s="5"/>
      <x:c r="D260" s="5"/>
      <x:c r="E260" s="5"/>
      <x:c r="F260" s="20"/>
      <x:c r="G260" s="20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  <x:c r="AQ260" s="5"/>
      <x:c r="AR260" s="5"/>
      <x:c r="AS260" s="5"/>
      <x:c r="AT260" s="5"/>
      <x:c r="AU260" s="5"/>
      <x:c r="AV260" s="5"/>
      <x:c r="AW260" s="5"/>
      <x:c r="AX260" s="5"/>
      <x:c r="AY260" s="5"/>
      <x:c r="AZ260" s="5"/>
    </x:row>
    <x:row r="261" spans="1:52">
      <x:c r="A261" s="5"/>
      <x:c r="B261" s="5"/>
      <x:c r="C261" s="5"/>
      <x:c r="D261" s="5"/>
      <x:c r="E261" s="5"/>
      <x:c r="F261" s="20"/>
      <x:c r="G261" s="20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  <x:c r="AQ261" s="5"/>
      <x:c r="AR261" s="5"/>
      <x:c r="AS261" s="5"/>
      <x:c r="AT261" s="5"/>
      <x:c r="AU261" s="5"/>
      <x:c r="AV261" s="5"/>
      <x:c r="AW261" s="5"/>
      <x:c r="AX261" s="5"/>
      <x:c r="AY261" s="5"/>
      <x:c r="AZ261" s="5"/>
    </x:row>
    <x:row r="262" spans="1:52">
      <x:c r="A262" s="5"/>
      <x:c r="B262" s="5"/>
      <x:c r="C262" s="5"/>
      <x:c r="D262" s="5"/>
      <x:c r="E262" s="5"/>
      <x:c r="F262" s="20"/>
      <x:c r="G262" s="20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  <x:c r="AB262" s="5"/>
      <x:c r="AC262" s="5"/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  <x:c r="AQ262" s="5"/>
      <x:c r="AR262" s="5"/>
      <x:c r="AS262" s="5"/>
      <x:c r="AT262" s="5"/>
      <x:c r="AU262" s="5"/>
      <x:c r="AV262" s="5"/>
      <x:c r="AW262" s="5"/>
      <x:c r="AX262" s="5"/>
      <x:c r="AY262" s="5"/>
      <x:c r="AZ262" s="5"/>
    </x:row>
    <x:row r="263" spans="1:52">
      <x:c r="A263" s="5"/>
      <x:c r="B263" s="5"/>
      <x:c r="C263" s="5"/>
      <x:c r="D263" s="5"/>
      <x:c r="E263" s="5"/>
      <x:c r="F263" s="20"/>
      <x:c r="G263" s="20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  <x:c r="AQ263" s="5"/>
      <x:c r="AR263" s="5"/>
      <x:c r="AS263" s="5"/>
      <x:c r="AT263" s="5"/>
      <x:c r="AU263" s="5"/>
      <x:c r="AV263" s="5"/>
      <x:c r="AW263" s="5"/>
      <x:c r="AX263" s="5"/>
      <x:c r="AY263" s="5"/>
      <x:c r="AZ263" s="5"/>
    </x:row>
    <x:row r="264" spans="1:52">
      <x:c r="A264" s="5"/>
      <x:c r="B264" s="5"/>
      <x:c r="C264" s="5"/>
      <x:c r="D264" s="5"/>
      <x:c r="E264" s="5"/>
      <x:c r="F264" s="20"/>
      <x:c r="G264" s="20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  <x:c r="AQ264" s="5"/>
      <x:c r="AR264" s="5"/>
      <x:c r="AS264" s="5"/>
      <x:c r="AT264" s="5"/>
      <x:c r="AU264" s="5"/>
      <x:c r="AV264" s="5"/>
      <x:c r="AW264" s="5"/>
      <x:c r="AX264" s="5"/>
      <x:c r="AY264" s="5"/>
      <x:c r="AZ264" s="5"/>
    </x:row>
    <x:row r="265" spans="1:52">
      <x:c r="A265" s="5"/>
      <x:c r="B265" s="5"/>
      <x:c r="C265" s="5"/>
      <x:c r="D265" s="5"/>
      <x:c r="E265" s="5"/>
      <x:c r="F265" s="20"/>
      <x:c r="G265" s="20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  <x:c r="AQ265" s="5"/>
      <x:c r="AR265" s="5"/>
      <x:c r="AS265" s="5"/>
      <x:c r="AT265" s="5"/>
      <x:c r="AU265" s="5"/>
      <x:c r="AV265" s="5"/>
      <x:c r="AW265" s="5"/>
      <x:c r="AX265" s="5"/>
      <x:c r="AY265" s="5"/>
      <x:c r="AZ265" s="5"/>
    </x:row>
  </x:sheetData>
  <x:mergeCells count="2">
    <x:mergeCell ref="A1:V2"/>
    <x:mergeCell ref="A3:V3"/>
  </x:mergeCells>
  <x:conditionalFormatting sqref="J5:J5 J66:J245">
    <x:cfRule type="expression" dxfId="14" priority="120">
      <x:formula>J5="완료"</x:formula>
    </x:cfRule>
  </x:conditionalFormatting>
  <x:conditionalFormatting sqref="O5:O6 O9:O9 O11:O14 O17:O18 O20:O22 O24:O25 O28:O29 O32:O33 O35:O36 O39:O40 O42:O43 O46:O47 O49:O50 O52:O53 O56:O57 O60:O60 O66:O245">
    <x:cfRule type="dataBar" priority="63">
      <x:dataBar>
        <x:cfvo type="min"/>
        <x:cfvo type="max"/>
        <x:color rgb="ff2e6f95"/>
      </x:dataBar>
    </x:cfRule>
  </x:conditionalFormatting>
  <x:conditionalFormatting sqref="J6:J6 J9:J9 J11:J14 J17:J18 J20:J21 J24:J25 J28:J29 J32:J33 J35:J36 J39:J40 J42:J43 J46:J47 J49:J50 J52:J53 J56:J57 J60:J60">
    <x:cfRule type="expression" dxfId="14" priority="62">
      <x:formula>J6="완료"</x:formula>
    </x:cfRule>
  </x:conditionalFormatting>
  <x:conditionalFormatting sqref="O61:O61">
    <x:cfRule type="dataBar" priority="61">
      <x:dataBar>
        <x:cfvo type="min"/>
        <x:cfvo type="max"/>
        <x:color rgb="ff2e6f95"/>
      </x:dataBar>
    </x:cfRule>
  </x:conditionalFormatting>
  <x:conditionalFormatting sqref="J61:J61">
    <x:cfRule type="expression" dxfId="14" priority="60">
      <x:formula>J61="완료"</x:formula>
    </x:cfRule>
  </x:conditionalFormatting>
  <x:conditionalFormatting sqref="O64:O64">
    <x:cfRule type="dataBar" priority="59">
      <x:dataBar>
        <x:cfvo type="min"/>
        <x:cfvo type="max"/>
        <x:color rgb="ff2e6f95"/>
      </x:dataBar>
    </x:cfRule>
  </x:conditionalFormatting>
  <x:conditionalFormatting sqref="J64:J64">
    <x:cfRule type="expression" dxfId="14" priority="58">
      <x:formula>J64="완료"</x:formula>
    </x:cfRule>
  </x:conditionalFormatting>
  <x:conditionalFormatting sqref="O16:O16">
    <x:cfRule type="dataBar" priority="57">
      <x:dataBar>
        <x:cfvo type="min"/>
        <x:cfvo type="max"/>
        <x:color rgb="ff2e6f95"/>
      </x:dataBar>
    </x:cfRule>
  </x:conditionalFormatting>
  <x:conditionalFormatting sqref="O26:O26">
    <x:cfRule type="dataBar" priority="55">
      <x:dataBar>
        <x:cfvo type="min"/>
        <x:cfvo type="max"/>
        <x:color rgb="ff2e6f95"/>
      </x:dataBar>
    </x:cfRule>
  </x:conditionalFormatting>
  <x:conditionalFormatting sqref="J26:J26">
    <x:cfRule type="expression" dxfId="14" priority="54">
      <x:formula>J26="완료"</x:formula>
    </x:cfRule>
  </x:conditionalFormatting>
  <x:conditionalFormatting sqref="O31:O31">
    <x:cfRule type="dataBar" priority="53">
      <x:dataBar>
        <x:cfvo type="min"/>
        <x:cfvo type="max"/>
        <x:color rgb="ff2e6f95"/>
      </x:dataBar>
    </x:cfRule>
  </x:conditionalFormatting>
  <x:conditionalFormatting sqref="O45:O45">
    <x:cfRule type="dataBar" priority="51">
      <x:dataBar>
        <x:cfvo type="min"/>
        <x:cfvo type="max"/>
        <x:color rgb="ff2e6f95"/>
      </x:dataBar>
    </x:cfRule>
  </x:conditionalFormatting>
  <x:conditionalFormatting sqref="J45:J45">
    <x:cfRule type="expression" dxfId="14" priority="49">
      <x:formula>J45="완료"</x:formula>
    </x:cfRule>
  </x:conditionalFormatting>
  <x:conditionalFormatting sqref="J31:J31">
    <x:cfRule type="expression" dxfId="14" priority="48">
      <x:formula>J31="완료"</x:formula>
    </x:cfRule>
  </x:conditionalFormatting>
  <x:conditionalFormatting sqref="J16:J16">
    <x:cfRule type="expression" dxfId="14" priority="47">
      <x:formula>J16="완료"</x:formula>
    </x:cfRule>
  </x:conditionalFormatting>
  <x:conditionalFormatting sqref="O54:O54">
    <x:cfRule type="dataBar" priority="46">
      <x:dataBar>
        <x:cfvo type="min"/>
        <x:cfvo type="max"/>
        <x:color rgb="ff2e6f95"/>
      </x:dataBar>
    </x:cfRule>
  </x:conditionalFormatting>
  <x:conditionalFormatting sqref="J54:J54">
    <x:cfRule type="expression" dxfId="14" priority="45">
      <x:formula>J54="완료"</x:formula>
    </x:cfRule>
  </x:conditionalFormatting>
  <x:conditionalFormatting sqref="O59:O59">
    <x:cfRule type="dataBar" priority="44">
      <x:dataBar>
        <x:cfvo type="min"/>
        <x:cfvo type="max"/>
        <x:color rgb="ff2e6f95"/>
      </x:dataBar>
    </x:cfRule>
  </x:conditionalFormatting>
  <x:conditionalFormatting sqref="J59:J59">
    <x:cfRule type="expression" dxfId="14" priority="43">
      <x:formula>J59="완료"</x:formula>
    </x:cfRule>
  </x:conditionalFormatting>
  <x:conditionalFormatting sqref="J22:J22">
    <x:cfRule type="expression" dxfId="14" priority="42">
      <x:formula>J22="완료"</x:formula>
    </x:cfRule>
  </x:conditionalFormatting>
  <x:conditionalFormatting sqref="J7:J7">
    <x:cfRule type="expression" dxfId="14" priority="41">
      <x:formula>J7="완료"</x:formula>
    </x:cfRule>
  </x:conditionalFormatting>
  <x:conditionalFormatting sqref="O7:O7">
    <x:cfRule type="dataBar" priority="40">
      <x:dataBar>
        <x:cfvo type="min"/>
        <x:cfvo type="max"/>
        <x:color rgb="ff2e6f95"/>
      </x:dataBar>
    </x:cfRule>
  </x:conditionalFormatting>
  <x:conditionalFormatting sqref="J8:J8">
    <x:cfRule type="expression" dxfId="14" priority="39">
      <x:formula>J8="완료"</x:formula>
    </x:cfRule>
  </x:conditionalFormatting>
  <x:conditionalFormatting sqref="O8:O8">
    <x:cfRule type="dataBar" priority="38">
      <x:dataBar>
        <x:cfvo type="min"/>
        <x:cfvo type="max"/>
        <x:color rgb="ff2e6f95"/>
      </x:dataBar>
    </x:cfRule>
  </x:conditionalFormatting>
  <x:conditionalFormatting sqref="O10:O10">
    <x:cfRule type="dataBar" priority="36">
      <x:dataBar>
        <x:cfvo type="min"/>
        <x:cfvo type="max"/>
        <x:color rgb="ff2e6f95"/>
      </x:dataBar>
    </x:cfRule>
  </x:conditionalFormatting>
  <x:conditionalFormatting sqref="J10:J10">
    <x:cfRule type="expression" dxfId="14" priority="35">
      <x:formula>J10="완료"</x:formula>
    </x:cfRule>
  </x:conditionalFormatting>
  <x:conditionalFormatting sqref="O15:O15">
    <x:cfRule type="dataBar" priority="34">
      <x:dataBar>
        <x:cfvo type="min"/>
        <x:cfvo type="max"/>
        <x:color rgb="ff2e6f95"/>
      </x:dataBar>
    </x:cfRule>
  </x:conditionalFormatting>
  <x:conditionalFormatting sqref="J15:J15">
    <x:cfRule type="expression" dxfId="14" priority="33">
      <x:formula>J15="완료"</x:formula>
    </x:cfRule>
  </x:conditionalFormatting>
  <x:conditionalFormatting sqref="O19:O19">
    <x:cfRule type="dataBar" priority="32">
      <x:dataBar>
        <x:cfvo type="min"/>
        <x:cfvo type="max"/>
        <x:color rgb="ff2e6f95"/>
      </x:dataBar>
    </x:cfRule>
  </x:conditionalFormatting>
  <x:conditionalFormatting sqref="J19:J19">
    <x:cfRule type="expression" dxfId="14" priority="31">
      <x:formula>J19="완료"</x:formula>
    </x:cfRule>
  </x:conditionalFormatting>
  <x:conditionalFormatting sqref="O23:O23">
    <x:cfRule type="dataBar" priority="30">
      <x:dataBar>
        <x:cfvo type="min"/>
        <x:cfvo type="max"/>
        <x:color rgb="ff2e6f95"/>
      </x:dataBar>
    </x:cfRule>
  </x:conditionalFormatting>
  <x:conditionalFormatting sqref="J23:J23">
    <x:cfRule type="expression" dxfId="14" priority="29">
      <x:formula>J23="완료"</x:formula>
    </x:cfRule>
  </x:conditionalFormatting>
  <x:conditionalFormatting sqref="O27:O27">
    <x:cfRule type="dataBar" priority="28">
      <x:dataBar>
        <x:cfvo type="min"/>
        <x:cfvo type="max"/>
        <x:color rgb="ff2e6f95"/>
      </x:dataBar>
    </x:cfRule>
  </x:conditionalFormatting>
  <x:conditionalFormatting sqref="J27:J27">
    <x:cfRule type="expression" dxfId="14" priority="27">
      <x:formula>J27="완료"</x:formula>
    </x:cfRule>
  </x:conditionalFormatting>
  <x:conditionalFormatting sqref="O30:O30">
    <x:cfRule type="dataBar" priority="26">
      <x:dataBar>
        <x:cfvo type="min"/>
        <x:cfvo type="max"/>
        <x:color rgb="ff2e6f95"/>
      </x:dataBar>
    </x:cfRule>
  </x:conditionalFormatting>
  <x:conditionalFormatting sqref="J30:J30">
    <x:cfRule type="expression" dxfId="14" priority="25">
      <x:formula>J30="완료"</x:formula>
    </x:cfRule>
  </x:conditionalFormatting>
  <x:conditionalFormatting sqref="O34:O34">
    <x:cfRule type="dataBar" priority="24">
      <x:dataBar>
        <x:cfvo type="min"/>
        <x:cfvo type="max"/>
        <x:color rgb="ff2e6f95"/>
      </x:dataBar>
    </x:cfRule>
  </x:conditionalFormatting>
  <x:conditionalFormatting sqref="J34:J34">
    <x:cfRule type="expression" dxfId="14" priority="23">
      <x:formula>J34="완료"</x:formula>
    </x:cfRule>
  </x:conditionalFormatting>
  <x:conditionalFormatting sqref="O37:O37">
    <x:cfRule type="dataBar" priority="22">
      <x:dataBar>
        <x:cfvo type="min"/>
        <x:cfvo type="max"/>
        <x:color rgb="ff2e6f95"/>
      </x:dataBar>
    </x:cfRule>
  </x:conditionalFormatting>
  <x:conditionalFormatting sqref="J37:J37">
    <x:cfRule type="expression" dxfId="14" priority="21">
      <x:formula>J37="완료"</x:formula>
    </x:cfRule>
  </x:conditionalFormatting>
  <x:conditionalFormatting sqref="O38:O38">
    <x:cfRule type="dataBar" priority="20">
      <x:dataBar>
        <x:cfvo type="min"/>
        <x:cfvo type="max"/>
        <x:color rgb="ff2e6f95"/>
      </x:dataBar>
    </x:cfRule>
  </x:conditionalFormatting>
  <x:conditionalFormatting sqref="J38:J38">
    <x:cfRule type="expression" dxfId="14" priority="19">
      <x:formula>J38="완료"</x:formula>
    </x:cfRule>
  </x:conditionalFormatting>
  <x:conditionalFormatting sqref="O41:O41">
    <x:cfRule type="dataBar" priority="18">
      <x:dataBar>
        <x:cfvo type="min"/>
        <x:cfvo type="max"/>
        <x:color rgb="ff2e6f95"/>
      </x:dataBar>
    </x:cfRule>
  </x:conditionalFormatting>
  <x:conditionalFormatting sqref="J41:J41">
    <x:cfRule type="expression" dxfId="14" priority="17">
      <x:formula>J41="완료"</x:formula>
    </x:cfRule>
  </x:conditionalFormatting>
  <x:conditionalFormatting sqref="O44:O44">
    <x:cfRule type="dataBar" priority="16">
      <x:dataBar>
        <x:cfvo type="min"/>
        <x:cfvo type="max"/>
        <x:color rgb="ff2e6f95"/>
      </x:dataBar>
    </x:cfRule>
  </x:conditionalFormatting>
  <x:conditionalFormatting sqref="J44:J44">
    <x:cfRule type="expression" dxfId="14" priority="15">
      <x:formula>J44="완료"</x:formula>
    </x:cfRule>
  </x:conditionalFormatting>
  <x:conditionalFormatting sqref="O48:O48">
    <x:cfRule type="dataBar" priority="14">
      <x:dataBar>
        <x:cfvo type="min"/>
        <x:cfvo type="max"/>
        <x:color rgb="ff2e6f95"/>
      </x:dataBar>
    </x:cfRule>
  </x:conditionalFormatting>
  <x:conditionalFormatting sqref="J48:J48">
    <x:cfRule type="expression" dxfId="14" priority="13">
      <x:formula>J48="완료"</x:formula>
    </x:cfRule>
  </x:conditionalFormatting>
  <x:conditionalFormatting sqref="O51:O51">
    <x:cfRule type="dataBar" priority="12">
      <x:dataBar>
        <x:cfvo type="min"/>
        <x:cfvo type="max"/>
        <x:color rgb="ff2e6f95"/>
      </x:dataBar>
    </x:cfRule>
  </x:conditionalFormatting>
  <x:conditionalFormatting sqref="J51:J51">
    <x:cfRule type="expression" dxfId="14" priority="11">
      <x:formula>J51="완료"</x:formula>
    </x:cfRule>
  </x:conditionalFormatting>
  <x:conditionalFormatting sqref="O55:O55">
    <x:cfRule type="dataBar" priority="10">
      <x:dataBar>
        <x:cfvo type="min"/>
        <x:cfvo type="max"/>
        <x:color rgb="ff2e6f95"/>
      </x:dataBar>
    </x:cfRule>
  </x:conditionalFormatting>
  <x:conditionalFormatting sqref="J55:J55">
    <x:cfRule type="expression" dxfId="14" priority="9">
      <x:formula>J55="완료"</x:formula>
    </x:cfRule>
  </x:conditionalFormatting>
  <x:conditionalFormatting sqref="O58:O58">
    <x:cfRule type="dataBar" priority="8">
      <x:dataBar>
        <x:cfvo type="min"/>
        <x:cfvo type="max"/>
        <x:color rgb="ff2e6f95"/>
      </x:dataBar>
    </x:cfRule>
  </x:conditionalFormatting>
  <x:conditionalFormatting sqref="J58:J58">
    <x:cfRule type="expression" dxfId="14" priority="7">
      <x:formula>J58="완료"</x:formula>
    </x:cfRule>
  </x:conditionalFormatting>
  <x:conditionalFormatting sqref="O62:O62">
    <x:cfRule type="dataBar" priority="6">
      <x:dataBar>
        <x:cfvo type="min"/>
        <x:cfvo type="max"/>
        <x:color rgb="ff2e6f95"/>
      </x:dataBar>
    </x:cfRule>
  </x:conditionalFormatting>
  <x:conditionalFormatting sqref="J62:J62">
    <x:cfRule type="expression" dxfId="14" priority="5">
      <x:formula>J62="완료"</x:formula>
    </x:cfRule>
  </x:conditionalFormatting>
  <x:conditionalFormatting sqref="O63:O63">
    <x:cfRule type="dataBar" priority="4">
      <x:dataBar>
        <x:cfvo type="min"/>
        <x:cfvo type="max"/>
        <x:color rgb="ff2e6f95"/>
      </x:dataBar>
    </x:cfRule>
  </x:conditionalFormatting>
  <x:conditionalFormatting sqref="J63:J63">
    <x:cfRule type="expression" dxfId="14" priority="3">
      <x:formula>J63="완료"</x:formula>
    </x:cfRule>
  </x:conditionalFormatting>
  <x:conditionalFormatting sqref="O65:O65">
    <x:cfRule type="dataBar" priority="2">
      <x:dataBar>
        <x:cfvo type="min"/>
        <x:cfvo type="max"/>
        <x:color rgb="ff2e6f95"/>
      </x:dataBar>
    </x:cfRule>
  </x:conditionalFormatting>
  <x:conditionalFormatting sqref="J65:J65">
    <x:cfRule type="expression" dxfId="14" priority="1">
      <x:formula>J65="완료"</x:formula>
    </x:cfRule>
  </x:conditionalFormatting>
  <x:dataValidations count="126">
    <x:dataValidation type="list" sqref="C5:C5 C66:C245">
      <x:formula1>목록!$G$2:$G$7</x:formula1>
    </x:dataValidation>
    <x:dataValidation type="list" sqref="J5:J5 J66:J245">
      <x:formula1>목록!$H$2:$H$5</x:formula1>
    </x:dataValidation>
    <x:dataValidation type="list" sqref="Q5:Q5 Q66:Q245">
      <x:formula1>목록!$I$2:$I$10</x:formula1>
    </x:dataValidation>
    <x:dataValidation type="decimal" sqref="O5:O245">
      <x:formula1>0</x:formula1>
      <x:formula2>1</x:formula2>
    </x:dataValidation>
    <x:dataValidation type="list" sqref="C11:C11 C9:C9 C6:C6">
      <x:formula1>목록!$G$2:$G$7</x:formula1>
    </x:dataValidation>
    <x:dataValidation type="list" sqref="J9:J9 J6:J6">
      <x:formula1>목록!$H$2:$H$5</x:formula1>
    </x:dataValidation>
    <x:dataValidation type="list" sqref="Q9:Q9 Q6:Q6">
      <x:formula1>목록!$I$2:$I$10</x:formula1>
    </x:dataValidation>
    <x:dataValidation type="list" sqref="J11:J11">
      <x:formula1>목록!$H$2:$H$5</x:formula1>
    </x:dataValidation>
    <x:dataValidation type="list" sqref="C12:C12">
      <x:formula1>목록!$G$2:$G$7</x:formula1>
    </x:dataValidation>
    <x:dataValidation type="list" sqref="J12:J12">
      <x:formula1>목록!$H$2:$H$5</x:formula1>
    </x:dataValidation>
    <x:dataValidation type="list" sqref="C13:C13">
      <x:formula1>목록!$G$2:$G$7</x:formula1>
    </x:dataValidation>
    <x:dataValidation type="list" sqref="J13:J13">
      <x:formula1>목록!$H$2:$H$5</x:formula1>
    </x:dataValidation>
    <x:dataValidation type="list" sqref="C14:C14">
      <x:formula1>목록!$G$2:$G$7</x:formula1>
    </x:dataValidation>
    <x:dataValidation type="list" sqref="J14:J14">
      <x:formula1>목록!$H$2:$H$5</x:formula1>
    </x:dataValidation>
    <x:dataValidation type="list" sqref="C17:C17">
      <x:formula1>목록!$G$2:$G$7</x:formula1>
    </x:dataValidation>
    <x:dataValidation type="list" sqref="J17:J17">
      <x:formula1>목록!$H$2:$H$5</x:formula1>
    </x:dataValidation>
    <x:dataValidation type="list" sqref="C18:C18">
      <x:formula1>목록!$G$2:$G$7</x:formula1>
    </x:dataValidation>
    <x:dataValidation type="list" sqref="J18:J18">
      <x:formula1>목록!$H$2:$H$5</x:formula1>
    </x:dataValidation>
    <x:dataValidation type="list" sqref="C20:C20">
      <x:formula1>목록!$G$2:$G$7</x:formula1>
    </x:dataValidation>
    <x:dataValidation type="list" sqref="J20:J20">
      <x:formula1>목록!$H$2:$H$5</x:formula1>
    </x:dataValidation>
    <x:dataValidation type="list" sqref="C21:C21">
      <x:formula1>목록!$G$2:$G$7</x:formula1>
    </x:dataValidation>
    <x:dataValidation type="list" sqref="J21:J21">
      <x:formula1>목록!$H$2:$H$5</x:formula1>
    </x:dataValidation>
    <x:dataValidation type="list" sqref="C24:C24">
      <x:formula1>목록!$G$2:$G$7</x:formula1>
    </x:dataValidation>
    <x:dataValidation type="list" sqref="J24:J24">
      <x:formula1>목록!$H$2:$H$5</x:formula1>
    </x:dataValidation>
    <x:dataValidation type="list" sqref="C25:C25">
      <x:formula1>목록!$G$2:$G$7</x:formula1>
    </x:dataValidation>
    <x:dataValidation type="list" sqref="J25:J25">
      <x:formula1>목록!$H$2:$H$5</x:formula1>
    </x:dataValidation>
    <x:dataValidation type="list" sqref="C28:C28">
      <x:formula1>목록!$G$2:$G$7</x:formula1>
    </x:dataValidation>
    <x:dataValidation type="list" sqref="J28:J28">
      <x:formula1>목록!$H$2:$H$5</x:formula1>
    </x:dataValidation>
    <x:dataValidation type="list" sqref="C29:C29">
      <x:formula1>목록!$G$2:$G$7</x:formula1>
    </x:dataValidation>
    <x:dataValidation type="list" sqref="J29:J29">
      <x:formula1>목록!$H$2:$H$5</x:formula1>
    </x:dataValidation>
    <x:dataValidation type="list" sqref="C32:C32">
      <x:formula1>목록!$G$2:$G$7</x:formula1>
    </x:dataValidation>
    <x:dataValidation type="list" sqref="J32:J32">
      <x:formula1>목록!$H$2:$H$5</x:formula1>
    </x:dataValidation>
    <x:dataValidation type="list" sqref="C33:C33">
      <x:formula1>목록!$G$2:$G$7</x:formula1>
    </x:dataValidation>
    <x:dataValidation type="list" sqref="J33:J33">
      <x:formula1>목록!$H$2:$H$5</x:formula1>
    </x:dataValidation>
    <x:dataValidation type="list" sqref="C35:C35">
      <x:formula1>목록!$G$2:$G$7</x:formula1>
    </x:dataValidation>
    <x:dataValidation type="list" sqref="J35:J35">
      <x:formula1>목록!$H$2:$H$5</x:formula1>
    </x:dataValidation>
    <x:dataValidation type="list" sqref="C36:C36">
      <x:formula1>목록!$G$2:$G$7</x:formula1>
    </x:dataValidation>
    <x:dataValidation type="list" sqref="J36:J36">
      <x:formula1>목록!$H$2:$H$5</x:formula1>
    </x:dataValidation>
    <x:dataValidation type="list" sqref="C39:C39">
      <x:formula1>목록!$G$2:$G$7</x:formula1>
    </x:dataValidation>
    <x:dataValidation type="list" sqref="J39:J39">
      <x:formula1>목록!$H$2:$H$5</x:formula1>
    </x:dataValidation>
    <x:dataValidation type="list" sqref="C40:C40">
      <x:formula1>목록!$G$2:$G$7</x:formula1>
    </x:dataValidation>
    <x:dataValidation type="list" sqref="J40:J40">
      <x:formula1>목록!$H$2:$H$5</x:formula1>
    </x:dataValidation>
    <x:dataValidation type="list" sqref="C42:C42">
      <x:formula1>목록!$G$2:$G$7</x:formula1>
    </x:dataValidation>
    <x:dataValidation type="list" sqref="J42:J42">
      <x:formula1>목록!$H$2:$H$5</x:formula1>
    </x:dataValidation>
    <x:dataValidation type="list" sqref="C43:C43">
      <x:formula1>목록!$G$2:$G$7</x:formula1>
    </x:dataValidation>
    <x:dataValidation type="list" sqref="J43:J43">
      <x:formula1>목록!$H$2:$H$5</x:formula1>
    </x:dataValidation>
    <x:dataValidation type="list" sqref="C46:C46">
      <x:formula1>목록!$G$2:$G$7</x:formula1>
    </x:dataValidation>
    <x:dataValidation type="list" sqref="J46:J46">
      <x:formula1>목록!$H$2:$H$5</x:formula1>
    </x:dataValidation>
    <x:dataValidation type="list" sqref="C47:C47">
      <x:formula1>목록!$G$2:$G$7</x:formula1>
    </x:dataValidation>
    <x:dataValidation type="list" sqref="J47:J47">
      <x:formula1>목록!$H$2:$H$5</x:formula1>
    </x:dataValidation>
    <x:dataValidation type="list" sqref="C49:C49">
      <x:formula1>목록!$G$2:$G$7</x:formula1>
    </x:dataValidation>
    <x:dataValidation type="list" sqref="J49:J49">
      <x:formula1>목록!$H$2:$H$5</x:formula1>
    </x:dataValidation>
    <x:dataValidation type="list" sqref="C50:C50">
      <x:formula1>목록!$G$2:$G$7</x:formula1>
    </x:dataValidation>
    <x:dataValidation type="list" sqref="J50:J50">
      <x:formula1>목록!$H$2:$H$5</x:formula1>
    </x:dataValidation>
    <x:dataValidation type="list" sqref="C52:C52">
      <x:formula1>목록!$G$2:$G$7</x:formula1>
    </x:dataValidation>
    <x:dataValidation type="list" sqref="J52:J52">
      <x:formula1>목록!$H$2:$H$5</x:formula1>
    </x:dataValidation>
    <x:dataValidation type="list" sqref="C53:C53">
      <x:formula1>목록!$G$2:$G$7</x:formula1>
    </x:dataValidation>
    <x:dataValidation type="list" sqref="J53:J53">
      <x:formula1>목록!$H$2:$H$5</x:formula1>
    </x:dataValidation>
    <x:dataValidation type="list" sqref="C56:C56">
      <x:formula1>목록!$G$2:$G$7</x:formula1>
    </x:dataValidation>
    <x:dataValidation type="list" sqref="J56:J56">
      <x:formula1>목록!$H$2:$H$5</x:formula1>
    </x:dataValidation>
    <x:dataValidation type="list" sqref="C57:C57">
      <x:formula1>목록!$G$2:$G$7</x:formula1>
    </x:dataValidation>
    <x:dataValidation type="list" sqref="J57:J57">
      <x:formula1>목록!$H$2:$H$5</x:formula1>
    </x:dataValidation>
    <x:dataValidation type="list" sqref="C60:C60">
      <x:formula1>목록!$G$2:$G$7</x:formula1>
    </x:dataValidation>
    <x:dataValidation type="list" sqref="J60:J60">
      <x:formula1>목록!$H$2:$H$5</x:formula1>
    </x:dataValidation>
    <x:dataValidation type="list" sqref="C61:C61">
      <x:formula1>목록!$G$2:$G$7</x:formula1>
    </x:dataValidation>
    <x:dataValidation type="list" sqref="J61:J61">
      <x:formula1>목록!$H$2:$H$5</x:formula1>
    </x:dataValidation>
    <x:dataValidation type="list" sqref="C64:C64">
      <x:formula1>목록!$G$2:$G$7</x:formula1>
    </x:dataValidation>
    <x:dataValidation type="list" sqref="J64:J64">
      <x:formula1>목록!$H$2:$H$5</x:formula1>
    </x:dataValidation>
    <x:dataValidation type="list" sqref="C16:C16">
      <x:formula1>목록!$G$2:$G$7</x:formula1>
    </x:dataValidation>
    <x:dataValidation type="list" sqref="J26:J26">
      <x:formula1>목록!$H$2:$H$5</x:formula1>
    </x:dataValidation>
    <x:dataValidation type="list" sqref="C31:C31">
      <x:formula1>목록!$G$2:$G$7</x:formula1>
    </x:dataValidation>
    <x:dataValidation type="list" sqref="C45:C45">
      <x:formula1>목록!$G$2:$G$7</x:formula1>
    </x:dataValidation>
    <x:dataValidation type="list" sqref="J45:J45">
      <x:formula1>목록!$H$2:$H$5</x:formula1>
    </x:dataValidation>
    <x:dataValidation type="list" sqref="J31:J31">
      <x:formula1>목록!$H$2:$H$5</x:formula1>
    </x:dataValidation>
    <x:dataValidation type="list" sqref="J16:J16">
      <x:formula1>목록!$H$2:$H$5</x:formula1>
    </x:dataValidation>
    <x:dataValidation type="list" sqref="C26:C26">
      <x:formula1>목록!$G$2:$G$7</x:formula1>
    </x:dataValidation>
    <x:dataValidation type="list" sqref="J54:J54">
      <x:formula1>목록!$H$2:$H$5</x:formula1>
    </x:dataValidation>
    <x:dataValidation type="list" sqref="C54:C54">
      <x:formula1>목록!$G$2:$G$7</x:formula1>
    </x:dataValidation>
    <x:dataValidation type="list" sqref="J59:J59">
      <x:formula1>목록!$H$2:$H$5</x:formula1>
    </x:dataValidation>
    <x:dataValidation type="list" sqref="C59:C59">
      <x:formula1>목록!$G$2:$G$7</x:formula1>
    </x:dataValidation>
    <x:dataValidation type="list" sqref="C22:C22">
      <x:formula1>목록!$G$2:$G$7</x:formula1>
    </x:dataValidation>
    <x:dataValidation type="list" sqref="J22:J22">
      <x:formula1>목록!$H$2:$H$5</x:formula1>
    </x:dataValidation>
    <x:dataValidation type="list" sqref="C7:C7">
      <x:formula1>목록!$G$2:$G$7</x:formula1>
    </x:dataValidation>
    <x:dataValidation type="list" sqref="J7:J7">
      <x:formula1>목록!$H$2:$H$5</x:formula1>
    </x:dataValidation>
    <x:dataValidation type="list" sqref="Q7:Q7">
      <x:formula1>목록!$I$2:$I$10</x:formula1>
    </x:dataValidation>
    <x:dataValidation type="list" sqref="C8:C8">
      <x:formula1>목록!$G$2:$G$7</x:formula1>
    </x:dataValidation>
    <x:dataValidation type="list" sqref="J8:J8">
      <x:formula1>목록!$H$2:$H$5</x:formula1>
    </x:dataValidation>
    <x:dataValidation type="list" sqref="Q8:Q8">
      <x:formula1>목록!$I$2:$I$10</x:formula1>
    </x:dataValidation>
    <x:dataValidation type="list" sqref="C10:C10">
      <x:formula1>목록!$G$2:$G$7</x:formula1>
    </x:dataValidation>
    <x:dataValidation type="list" sqref="Q10:Q10">
      <x:formula1>목록!$I$2:$I$10</x:formula1>
    </x:dataValidation>
    <x:dataValidation type="list" sqref="J10:J10">
      <x:formula1>목록!$H$2:$H$5</x:formula1>
    </x:dataValidation>
    <x:dataValidation type="list" sqref="C15:C15">
      <x:formula1>목록!$G$2:$G$7</x:formula1>
    </x:dataValidation>
    <x:dataValidation type="list" sqref="J15:J15">
      <x:formula1>목록!$H$2:$H$5</x:formula1>
    </x:dataValidation>
    <x:dataValidation type="list" sqref="C19:C19">
      <x:formula1>목록!$G$2:$G$7</x:formula1>
    </x:dataValidation>
    <x:dataValidation type="list" sqref="J19:J19">
      <x:formula1>목록!$H$2:$H$5</x:formula1>
    </x:dataValidation>
    <x:dataValidation type="list" sqref="C23:C23">
      <x:formula1>목록!$G$2:$G$7</x:formula1>
    </x:dataValidation>
    <x:dataValidation type="list" sqref="J23:J23">
      <x:formula1>목록!$H$2:$H$5</x:formula1>
    </x:dataValidation>
    <x:dataValidation type="list" sqref="C27:C27">
      <x:formula1>목록!$G$2:$G$7</x:formula1>
    </x:dataValidation>
    <x:dataValidation type="list" sqref="J27:J27">
      <x:formula1>목록!$H$2:$H$5</x:formula1>
    </x:dataValidation>
    <x:dataValidation type="list" sqref="C30:C30">
      <x:formula1>목록!$G$2:$G$7</x:formula1>
    </x:dataValidation>
    <x:dataValidation type="list" sqref="J30:J30">
      <x:formula1>목록!$H$2:$H$5</x:formula1>
    </x:dataValidation>
    <x:dataValidation type="list" sqref="C34:C34">
      <x:formula1>목록!$G$2:$G$7</x:formula1>
    </x:dataValidation>
    <x:dataValidation type="list" sqref="J34:J34">
      <x:formula1>목록!$H$2:$H$5</x:formula1>
    </x:dataValidation>
    <x:dataValidation type="list" sqref="C37:C37">
      <x:formula1>목록!$G$2:$G$7</x:formula1>
    </x:dataValidation>
    <x:dataValidation type="list" sqref="J37:J37">
      <x:formula1>목록!$H$2:$H$5</x:formula1>
    </x:dataValidation>
    <x:dataValidation type="list" sqref="C38:C38">
      <x:formula1>목록!$G$2:$G$7</x:formula1>
    </x:dataValidation>
    <x:dataValidation type="list" sqref="J38:J38">
      <x:formula1>목록!$H$2:$H$5</x:formula1>
    </x:dataValidation>
    <x:dataValidation type="list" sqref="C41:C41">
      <x:formula1>목록!$G$2:$G$7</x:formula1>
    </x:dataValidation>
    <x:dataValidation type="list" sqref="J41:J41">
      <x:formula1>목록!$H$2:$H$5</x:formula1>
    </x:dataValidation>
    <x:dataValidation type="list" sqref="C44:C44">
      <x:formula1>목록!$G$2:$G$7</x:formula1>
    </x:dataValidation>
    <x:dataValidation type="list" sqref="J44:J44">
      <x:formula1>목록!$H$2:$H$5</x:formula1>
    </x:dataValidation>
    <x:dataValidation type="list" sqref="C48:C48">
      <x:formula1>목록!$G$2:$G$7</x:formula1>
    </x:dataValidation>
    <x:dataValidation type="list" sqref="J48:J48">
      <x:formula1>목록!$H$2:$H$5</x:formula1>
    </x:dataValidation>
    <x:dataValidation type="list" sqref="C51:C51">
      <x:formula1>목록!$G$2:$G$7</x:formula1>
    </x:dataValidation>
    <x:dataValidation type="list" sqref="J51:J51">
      <x:formula1>목록!$H$2:$H$5</x:formula1>
    </x:dataValidation>
    <x:dataValidation type="list" sqref="C55:C55">
      <x:formula1>목록!$G$2:$G$7</x:formula1>
    </x:dataValidation>
    <x:dataValidation type="list" sqref="J55:J55">
      <x:formula1>목록!$H$2:$H$5</x:formula1>
    </x:dataValidation>
    <x:dataValidation type="list" sqref="C58:C58">
      <x:formula1>목록!$G$2:$G$7</x:formula1>
    </x:dataValidation>
    <x:dataValidation type="list" sqref="J58:J58">
      <x:formula1>목록!$H$2:$H$5</x:formula1>
    </x:dataValidation>
    <x:dataValidation type="list" sqref="C62:C62">
      <x:formula1>목록!$G$2:$G$7</x:formula1>
    </x:dataValidation>
    <x:dataValidation type="list" sqref="J62:J62">
      <x:formula1>목록!$H$2:$H$5</x:formula1>
    </x:dataValidation>
    <x:dataValidation type="list" sqref="C63:C63">
      <x:formula1>목록!$G$2:$G$7</x:formula1>
    </x:dataValidation>
    <x:dataValidation type="list" sqref="J63:J63">
      <x:formula1>목록!$H$2:$H$5</x:formula1>
    </x:dataValidation>
    <x:dataValidation type="list" sqref="C65:C65">
      <x:formula1>목록!$G$2:$G$7</x:formula1>
    </x:dataValidation>
    <x:dataValidation type="list" sqref="Q11:Q65">
      <x:formula1>목록!$I$2:$I$10</x:formula1>
    </x:dataValidation>
    <x:dataValidation type="list" sqref="J65:J65">
      <x:formula1>목록!$H$2:$H$5</x:formula1>
    </x:dataValidation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Z220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0" width="14" style="4" customWidth="1"/>
  </x:cols>
  <x:sheetData>
    <x:row r="1" spans="1:52">
      <x:c r="A1" s="40" t="s">
        <x:v>37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</x:row>
    <x:row r="2" spans="1:5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</x:row>
    <x:row r="3" spans="1:52">
      <x:c r="A3" s="40" t="s">
        <x:v>261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</x:row>
    <x:row r="4" spans="1:52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</x:row>
    <x:row r="5" spans="1:52">
      <x:c r="A5" s="40" t="s">
        <x:v>305</x:v>
      </x:c>
      <x:c r="B5" s="40"/>
      <x:c r="C5" s="40" t="s">
        <x:v>335</x:v>
      </x:c>
      <x:c r="D5" s="40"/>
      <x:c r="E5" s="40" t="s">
        <x:v>112</x:v>
      </x:c>
      <x:c r="F5" s="40"/>
      <x:c r="G5" s="40" t="s">
        <x:v>65</x:v>
      </x:c>
      <x:c r="H5" s="40"/>
      <x:c r="I5" s="40" t="s">
        <x:v>336</x:v>
      </x:c>
      <x:c r="J5" s="40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</x:row>
    <x:row r="6" spans="1:52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</x:row>
    <x:row r="7" spans="1:52">
      <x:c r="A7" s="40">
        <x:f>COUNTIFS(기도대상자관리!$AD$5:$AD$201,"사용",기도대상자관리!$B$5:$B$201,"&lt;&gt;")</x:f>
        <x:v>0</x:v>
      </x:c>
      <x:c r="B7" s="40"/>
      <x:c r="C7" s="40">
        <x:f ca="1">COUNTIFS(기도대상자관리!$AD$5:$AD$201,"사용",기도대상자관리!$V$5:$V$201,"&gt;="&amp;TODAY(),기도대상자관리!$V$5:$V$201,"&lt;="&amp;TODAY()+7)</x:f>
        <x:v>0</x:v>
      </x:c>
      <x:c r="D7" s="40"/>
      <x:c r="E7" s="40">
        <x:f>COUNTIFS(기도대상자관리!$AD$5:$AD$201,"사용",기도대상자관리!$L$5:$L$201,"교회방문")+COUNTIFS(기도대상자관리!$AD$5:$AD$201,"사용",기도대상자관리!$L$5:$L$201,"새가족")+COUNTIFS(기도대상자관리!$AD$5:$AD$201,"사용",기도대상자관리!$L$5:$L$201,"등록교인")+COUNTIFS(기도대상자관리!$AD$5:$AD$201,"사용",기도대상자관리!$L$5:$L$201,"군우편입")</x:f>
        <x:v>0</x:v>
      </x:c>
      <x:c r="F7" s="40"/>
      <x:c r="G7" s="40">
        <x:f>COUNTIFS(기도대상자관리!$AD$5:$AD$201,"사용",기도대상자관리!$L$5:$L$201,"군우편입")</x:f>
        <x:v>0</x:v>
      </x:c>
      <x:c r="H7" s="40"/>
      <x:c r="I7" s="40">
        <x:f>COUNTIFS(일만상상프로젝트!$J$5:$J$245,"진행중",일만상상프로젝트!$B$5:$B$245,"&lt;&gt;")</x:f>
        <x:v>0</x:v>
      </x:c>
      <x:c r="J7" s="40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</x:row>
    <x:row r="8" spans="1:52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</x:row>
    <x:row r="9" spans="1:52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</x:row>
    <x:row r="10" spans="1:52">
      <x:c r="A10" s="15" t="s">
        <x:v>95</x:v>
      </x:c>
      <x:c r="B10" s="15" t="s">
        <x:v>200</x:v>
      </x:c>
      <x:c r="C10" s="15" t="s">
        <x:v>185</x:v>
      </x:c>
      <x:c r="D10" s="5"/>
      <x:c r="E10" s="16" t="s">
        <x:v>68</x:v>
      </x:c>
      <x:c r="F10" s="16" t="s">
        <x:v>192</x:v>
      </x:c>
      <x:c r="G10" s="16" t="s">
        <x:v>104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</x:row>
    <x:row r="11" spans="1:52">
      <x:c r="A11" s="5" t="s">
        <x:v>152</x:v>
      </x:c>
      <x:c r="B11" s="5">
        <x:f>COUNTIFS(기도대상자관리!$AD$5:$AD$201,"사용",기도대상자관리!$L$5:$L$201,A11)</x:f>
        <x:v>0</x:v>
      </x:c>
      <x:c r="C11" s="14">
        <x:f>IF($A$7=0,0,B11/$A$7)</x:f>
        <x:v>0</x:v>
      </x:c>
      <x:c r="D11" s="5"/>
      <x:c r="E11" s="5" t="s">
        <x:v>177</x:v>
      </x:c>
      <x:c r="F11" s="5">
        <x:f>COUNTIFS(일만상상프로젝트!$J$5:$J$245,E11,일만상상프로젝트!$B$5:$B$245,"&lt;&gt;")</x:f>
        <x:v>57</x:v>
      </x:c>
      <x:c r="G11" s="13">
        <x:f>SUMIFS(일만상상프로젝트!$K$5:$K$245,일만상상프로젝트!$J$5:$J$245,E11)</x:f>
        <x:v>3682000</x:v>
      </x:c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</x:row>
    <x:row r="12" spans="1:52">
      <x:c r="A12" s="5" t="s">
        <x:v>83</x:v>
      </x:c>
      <x:c r="B12" s="5">
        <x:f>COUNTIFS(기도대상자관리!$AD$5:$AD$201,"사용",기도대상자관리!$L$5:$L$201,A12)</x:f>
        <x:v>0</x:v>
      </x:c>
      <x:c r="C12" s="14">
        <x:f>IF($A$7=0,0,B12/$A$7)</x:f>
        <x:v>0</x:v>
      </x:c>
      <x:c r="D12" s="5"/>
      <x:c r="E12" s="5" t="s">
        <x:v>225</x:v>
      </x:c>
      <x:c r="F12" s="5">
        <x:f>COUNTIFS(일만상상프로젝트!$J$5:$J$245,E12,일만상상프로젝트!$B$5:$B$245,"&lt;&gt;")</x:f>
        <x:v>0</x:v>
      </x:c>
      <x:c r="G12" s="13">
        <x:f>SUMIFS(일만상상프로젝트!$K$5:$K$245,일만상상프로젝트!$J$5:$J$245,E12)</x:f>
        <x:v>0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</x:row>
    <x:row r="13" spans="1:52">
      <x:c r="A13" s="5" t="s">
        <x:v>201</x:v>
      </x:c>
      <x:c r="B13" s="5">
        <x:f>COUNTIFS(기도대상자관리!$AD$5:$AD$201,"사용",기도대상자관리!$L$5:$L$201,A13)</x:f>
        <x:v>0</x:v>
      </x:c>
      <x:c r="C13" s="14">
        <x:f>IF($A$7=0,0,B13/$A$7)</x:f>
        <x:v>0</x:v>
      </x:c>
      <x:c r="D13" s="5"/>
      <x:c r="E13" s="5" t="s">
        <x:v>234</x:v>
      </x:c>
      <x:c r="F13" s="5">
        <x:f>COUNTIFS(일만상상프로젝트!$J$5:$J$245,E13,일만상상프로젝트!$B$5:$B$245,"&lt;&gt;")</x:f>
        <x:v>4</x:v>
      </x:c>
      <x:c r="G13" s="13">
        <x:f>SUMIFS(일만상상프로젝트!$K$5:$K$245,일만상상프로젝트!$J$5:$J$245,E13)</x:f>
        <x:v>0</x:v>
      </x:c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</x:row>
    <x:row r="14" spans="1:52">
      <x:c r="A14" s="5" t="s">
        <x:v>181</x:v>
      </x:c>
      <x:c r="B14" s="5">
        <x:f>COUNTIFS(기도대상자관리!$AD$5:$AD$201,"사용",기도대상자관리!$L$5:$L$201,A14)</x:f>
        <x:v>0</x:v>
      </x:c>
      <x:c r="C14" s="14">
        <x:f>IF($A$7=0,0,B14/$A$7)</x:f>
        <x:v>0</x:v>
      </x:c>
      <x:c r="D14" s="5"/>
      <x:c r="E14" s="5" t="s">
        <x:v>214</x:v>
      </x:c>
      <x:c r="F14" s="5">
        <x:f>COUNTIFS(일만상상프로젝트!$J$5:$J$245,E14,일만상상프로젝트!$B$5:$B$245,"&lt;&gt;")</x:f>
        <x:v>0</x:v>
      </x:c>
      <x:c r="G14" s="13">
        <x:f>SUMIFS(일만상상프로젝트!$K$5:$K$245,일만상상프로젝트!$J$5:$J$245,E14)</x:f>
        <x:v>0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</x:row>
    <x:row r="15" spans="1:52">
      <x:c r="A15" s="5" t="s">
        <x:v>92</x:v>
      </x:c>
      <x:c r="B15" s="5">
        <x:f>COUNTIFS(기도대상자관리!$AD$5:$AD$201,"사용",기도대상자관리!$L$5:$L$201,A15)</x:f>
        <x:v>0</x:v>
      </x:c>
      <x:c r="C15" s="14">
        <x:f>IF($A$7=0,0,B15/$A$7)</x:f>
        <x:v>0</x:v>
      </x:c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</x:row>
    <x:row r="16" spans="1:52">
      <x:c r="A16" s="5" t="s">
        <x:v>155</x:v>
      </x:c>
      <x:c r="B16" s="5">
        <x:f>COUNTIFS(기도대상자관리!$AD$5:$AD$201,"사용",기도대상자관리!$L$5:$L$201,A16)</x:f>
        <x:v>0</x:v>
      </x:c>
      <x:c r="C16" s="14">
        <x:f>IF($A$7=0,0,B16/$A$7)</x:f>
        <x:v>0</x:v>
      </x:c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</x:row>
    <x:row r="17" spans="1:52">
      <x:c r="A17" s="5" t="s">
        <x:v>89</x:v>
      </x:c>
      <x:c r="B17" s="5">
        <x:f>COUNTIFS(기도대상자관리!$AD$5:$AD$201,"사용",기도대상자관리!$L$5:$L$201,A17)</x:f>
        <x:v>0</x:v>
      </x:c>
      <x:c r="C17" s="14">
        <x:f>IF($A$7=0,0,B17/$A$7)</x:f>
        <x:v>0</x:v>
      </x:c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</x:row>
    <x:row r="18" spans="1:52">
      <x:c r="A18" s="5" t="s">
        <x:v>65</x:v>
      </x:c>
      <x:c r="B18" s="5">
        <x:f>COUNTIFS(기도대상자관리!$AD$5:$AD$201,"사용",기도대상자관리!$L$5:$L$201,A18)</x:f>
        <x:v>0</x:v>
      </x:c>
      <x:c r="C18" s="14">
        <x:f>IF($A$7=0,0,B18/$A$7)</x:f>
        <x:v>0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</x:row>
    <x:row r="19" spans="1:52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</x:row>
    <x:row r="20" spans="1:52">
      <x:c r="A20" s="40" t="s">
        <x:v>0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</x:row>
    <x:row r="21" spans="1:52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</x:row>
    <x:row r="22" spans="1:5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</x:row>
    <x:row r="23" spans="1:52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</x:row>
    <x:row r="24" spans="1:52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</x:row>
    <x:row r="25" spans="1:52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</x:row>
    <x:row r="26" spans="1:52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</x:row>
    <x:row r="27" spans="1:52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</x:row>
    <x:row r="28" spans="1:52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</x:row>
    <x:row r="29" spans="1:52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</x:row>
    <x:row r="30" spans="1:52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</x:row>
    <x:row r="31" spans="1:52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</x:row>
    <x:row r="32" spans="1:5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</x:row>
    <x:row r="33" spans="1:52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</x:row>
    <x:row r="34" spans="1:52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</x:row>
    <x:row r="35" spans="1:52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</x:row>
    <x:row r="36" spans="1:52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</x:row>
    <x:row r="37" spans="1:52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</x:row>
    <x:row r="38" spans="1:52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</x:row>
    <x:row r="39" spans="1:52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</x:row>
    <x:row r="40" spans="1:52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</x:row>
    <x:row r="41" spans="1:52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</x:row>
    <x:row r="42" spans="1:5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</x:row>
    <x:row r="43" spans="1:52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</x:row>
    <x:row r="44" spans="1:52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</x:row>
    <x:row r="45" spans="1:52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</x:row>
    <x:row r="46" spans="1:52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</x:row>
    <x:row r="47" spans="1:52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</x:row>
    <x:row r="48" spans="1:52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</x:row>
    <x:row r="49" spans="1:52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</x:row>
    <x:row r="50" spans="1:52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</x:row>
    <x:row r="51" spans="1:52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</x:row>
    <x:row r="52" spans="1: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</x:row>
    <x:row r="53" spans="1:52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</x:row>
    <x:row r="54" spans="1:52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</x:row>
    <x:row r="55" spans="1:52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</x:row>
    <x:row r="56" spans="1:52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</x:row>
    <x:row r="57" spans="1:52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</x:row>
    <x:row r="58" spans="1:52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</x:row>
    <x:row r="59" spans="1:52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</x:row>
    <x:row r="60" spans="1:52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</x:row>
    <x:row r="61" spans="1:52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</x:row>
    <x:row r="62" spans="1:5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</x:row>
    <x:row r="63" spans="1:52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</x:row>
    <x:row r="64" spans="1:52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</x:row>
    <x:row r="65" spans="1:52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</x:row>
    <x:row r="66" spans="1:52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</x:row>
    <x:row r="67" spans="1:52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</x:row>
    <x:row r="68" spans="1:52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</x:row>
    <x:row r="69" spans="1:52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</x:row>
    <x:row r="70" spans="1:52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</x:row>
    <x:row r="71" spans="1:52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</x:row>
    <x:row r="72" spans="1:5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</x:row>
    <x:row r="73" spans="1:52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</x:row>
    <x:row r="74" spans="1:52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</x:row>
    <x:row r="75" spans="1:52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</x:row>
    <x:row r="76" spans="1:52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/>
      <x:c r="AS76" s="5"/>
      <x:c r="AT76" s="5"/>
      <x:c r="AU76" s="5"/>
      <x:c r="AV76" s="5"/>
      <x:c r="AW76" s="5"/>
      <x:c r="AX76" s="5"/>
      <x:c r="AY76" s="5"/>
      <x:c r="AZ76" s="5"/>
    </x:row>
    <x:row r="77" spans="1:52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</x:row>
    <x:row r="78" spans="1:52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</x:row>
    <x:row r="79" spans="1:52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</x:row>
    <x:row r="80" spans="1:52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  <x:c r="AQ80" s="5"/>
      <x:c r="AR80" s="5"/>
      <x:c r="AS80" s="5"/>
      <x:c r="AT80" s="5"/>
      <x:c r="AU80" s="5"/>
      <x:c r="AV80" s="5"/>
      <x:c r="AW80" s="5"/>
      <x:c r="AX80" s="5"/>
      <x:c r="AY80" s="5"/>
      <x:c r="AZ80" s="5"/>
    </x:row>
    <x:row r="81" spans="1:52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/>
    </x:row>
    <x:row r="82" spans="1:5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</x:row>
    <x:row r="83" spans="1:52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  <x:c r="AQ83" s="5"/>
      <x:c r="AR83" s="5"/>
      <x:c r="AS83" s="5"/>
      <x:c r="AT83" s="5"/>
      <x:c r="AU83" s="5"/>
      <x:c r="AV83" s="5"/>
      <x:c r="AW83" s="5"/>
      <x:c r="AX83" s="5"/>
      <x:c r="AY83" s="5"/>
      <x:c r="AZ83" s="5"/>
    </x:row>
    <x:row r="84" spans="1:52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</x:row>
    <x:row r="85" spans="1:52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</x:row>
    <x:row r="86" spans="1:52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</x:row>
    <x:row r="87" spans="1:52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</x:row>
    <x:row r="88" spans="1:52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</x:row>
    <x:row r="89" spans="1:52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</x:row>
    <x:row r="90" spans="1:52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</x:row>
    <x:row r="91" spans="1:52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</x:row>
    <x:row r="92" spans="1:5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</x:row>
    <x:row r="93" spans="1:52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</x:row>
    <x:row r="94" spans="1:52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</x:row>
    <x:row r="95" spans="1:52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</x:row>
    <x:row r="96" spans="1:52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</x:row>
    <x:row r="97" spans="1:52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</x:row>
    <x:row r="98" spans="1:52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</x:row>
    <x:row r="99" spans="1:52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</x:row>
    <x:row r="100" spans="1:52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</x:row>
    <x:row r="101" spans="1:52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</x:row>
    <x:row r="102" spans="1:5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</x:row>
    <x:row r="103" spans="1:52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</x:row>
    <x:row r="104" spans="1:52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</x:row>
    <x:row r="105" spans="1:52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</x:row>
    <x:row r="106" spans="1:52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</x:row>
    <x:row r="107" spans="1:52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</x:row>
    <x:row r="108" spans="1:52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</x:row>
    <x:row r="109" spans="1:52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</x:row>
    <x:row r="110" spans="1:52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</x:row>
    <x:row r="111" spans="1:52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</x:row>
    <x:row r="112" spans="1:5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</x:row>
    <x:row r="113" spans="1:52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</x:row>
    <x:row r="114" spans="1:52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</x:row>
    <x:row r="115" spans="1:52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</x:row>
    <x:row r="116" spans="1:52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</x:row>
    <x:row r="117" spans="1:52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</x:row>
    <x:row r="118" spans="1:52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</x:row>
    <x:row r="119" spans="1:52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</x:row>
    <x:row r="120" spans="1:52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</x:row>
    <x:row r="121" spans="1:52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</x:row>
    <x:row r="122" spans="1:5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</x:row>
    <x:row r="123" spans="1:52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</x:row>
    <x:row r="124" spans="1:52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</x:row>
    <x:row r="125" spans="1:52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</x:row>
    <x:row r="126" spans="1:52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</x:row>
    <x:row r="127" spans="1:52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</x:row>
    <x:row r="128" spans="1:52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</x:row>
    <x:row r="129" spans="1:52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</x:row>
    <x:row r="130" spans="1:52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</x:row>
    <x:row r="131" spans="1:52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</x:row>
    <x:row r="132" spans="1:5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</x:row>
    <x:row r="133" spans="1:52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</x:row>
    <x:row r="134" spans="1:52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</x:row>
    <x:row r="135" spans="1:52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</x:row>
    <x:row r="136" spans="1:52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</x:row>
    <x:row r="137" spans="1:52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</x:row>
    <x:row r="138" spans="1:52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</x:row>
    <x:row r="139" spans="1:52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</x:row>
    <x:row r="140" spans="1:52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</x:row>
    <x:row r="141" spans="1:52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</x:row>
    <x:row r="142" spans="1:5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</x:row>
    <x:row r="143" spans="1:52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</x:row>
    <x:row r="144" spans="1:52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  <x:c r="AQ144" s="5"/>
      <x:c r="AR144" s="5"/>
      <x:c r="AS144" s="5"/>
      <x:c r="AT144" s="5"/>
      <x:c r="AU144" s="5"/>
      <x:c r="AV144" s="5"/>
      <x:c r="AW144" s="5"/>
      <x:c r="AX144" s="5"/>
      <x:c r="AY144" s="5"/>
      <x:c r="AZ144" s="5"/>
    </x:row>
    <x:row r="145" spans="1:52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</x:row>
    <x:row r="146" spans="1:52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</x:row>
    <x:row r="147" spans="1:52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</x:row>
    <x:row r="148" spans="1:52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</x:row>
    <x:row r="149" spans="1:52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</x:row>
    <x:row r="150" spans="1:52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</x:row>
    <x:row r="151" spans="1:52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</x:row>
    <x:row r="152" spans="1: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  <x:c r="AQ152" s="5"/>
      <x:c r="AR152" s="5"/>
      <x:c r="AS152" s="5"/>
      <x:c r="AT152" s="5"/>
      <x:c r="AU152" s="5"/>
      <x:c r="AV152" s="5"/>
      <x:c r="AW152" s="5"/>
      <x:c r="AX152" s="5"/>
      <x:c r="AY152" s="5"/>
      <x:c r="AZ152" s="5"/>
    </x:row>
    <x:row r="153" spans="1:52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</x:row>
    <x:row r="154" spans="1:52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</x:row>
    <x:row r="155" spans="1:52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</x:row>
    <x:row r="156" spans="1:52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</x:row>
    <x:row r="157" spans="1:52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  <x:c r="AQ157" s="5"/>
      <x:c r="AR157" s="5"/>
      <x:c r="AS157" s="5"/>
      <x:c r="AT157" s="5"/>
      <x:c r="AU157" s="5"/>
      <x:c r="AV157" s="5"/>
      <x:c r="AW157" s="5"/>
      <x:c r="AX157" s="5"/>
      <x:c r="AY157" s="5"/>
      <x:c r="AZ157" s="5"/>
    </x:row>
    <x:row r="158" spans="1:52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  <x:c r="AQ158" s="5"/>
      <x:c r="AR158" s="5"/>
      <x:c r="AS158" s="5"/>
      <x:c r="AT158" s="5"/>
      <x:c r="AU158" s="5"/>
      <x:c r="AV158" s="5"/>
      <x:c r="AW158" s="5"/>
      <x:c r="AX158" s="5"/>
      <x:c r="AY158" s="5"/>
      <x:c r="AZ158" s="5"/>
    </x:row>
    <x:row r="159" spans="1:52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</x:row>
    <x:row r="160" spans="1:52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</x:row>
    <x:row r="161" spans="1:52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</x:row>
    <x:row r="162" spans="1:5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</x:row>
    <x:row r="163" spans="1:52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</x:row>
    <x:row r="164" spans="1:52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</x:row>
    <x:row r="165" spans="1:52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</x:row>
    <x:row r="166" spans="1:52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</x:row>
    <x:row r="167" spans="1:52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</x:row>
    <x:row r="168" spans="1:52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/>
    </x:row>
    <x:row r="169" spans="1:52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  <x:c r="AQ169" s="5"/>
      <x:c r="AR169" s="5"/>
      <x:c r="AS169" s="5"/>
      <x:c r="AT169" s="5"/>
      <x:c r="AU169" s="5"/>
      <x:c r="AV169" s="5"/>
      <x:c r="AW169" s="5"/>
      <x:c r="AX169" s="5"/>
      <x:c r="AY169" s="5"/>
      <x:c r="AZ169" s="5"/>
    </x:row>
    <x:row r="170" spans="1:52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  <x:c r="AQ170" s="5"/>
      <x:c r="AR170" s="5"/>
      <x:c r="AS170" s="5"/>
      <x:c r="AT170" s="5"/>
      <x:c r="AU170" s="5"/>
      <x:c r="AV170" s="5"/>
      <x:c r="AW170" s="5"/>
      <x:c r="AX170" s="5"/>
      <x:c r="AY170" s="5"/>
      <x:c r="AZ170" s="5"/>
    </x:row>
    <x:row r="171" spans="1:52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/>
      <x:c r="AR171" s="5"/>
      <x:c r="AS171" s="5"/>
      <x:c r="AT171" s="5"/>
      <x:c r="AU171" s="5"/>
      <x:c r="AV171" s="5"/>
      <x:c r="AW171" s="5"/>
      <x:c r="AX171" s="5"/>
      <x:c r="AY171" s="5"/>
      <x:c r="AZ171" s="5"/>
    </x:row>
    <x:row r="172" spans="1:5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</x:row>
    <x:row r="173" spans="1:52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/>
    </x:row>
    <x:row r="174" spans="1:52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  <x:c r="AQ174" s="5"/>
      <x:c r="AR174" s="5"/>
      <x:c r="AS174" s="5"/>
      <x:c r="AT174" s="5"/>
      <x:c r="AU174" s="5"/>
      <x:c r="AV174" s="5"/>
      <x:c r="AW174" s="5"/>
      <x:c r="AX174" s="5"/>
      <x:c r="AY174" s="5"/>
      <x:c r="AZ174" s="5"/>
    </x:row>
    <x:row r="175" spans="1:52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</x:row>
    <x:row r="176" spans="1:52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</x:row>
    <x:row r="177" spans="1:52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</x:row>
    <x:row r="178" spans="1:52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</x:row>
    <x:row r="179" spans="1:52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/>
    </x:row>
    <x:row r="180" spans="1:52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</x:row>
    <x:row r="181" spans="1:52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/>
      <x:c r="AR181" s="5"/>
      <x:c r="AS181" s="5"/>
      <x:c r="AT181" s="5"/>
      <x:c r="AU181" s="5"/>
      <x:c r="AV181" s="5"/>
      <x:c r="AW181" s="5"/>
      <x:c r="AX181" s="5"/>
      <x:c r="AY181" s="5"/>
      <x:c r="AZ181" s="5"/>
    </x:row>
    <x:row r="182" spans="1:5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</x:row>
    <x:row r="183" spans="1:52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/>
      <x:c r="AR183" s="5"/>
      <x:c r="AS183" s="5"/>
      <x:c r="AT183" s="5"/>
      <x:c r="AU183" s="5"/>
      <x:c r="AV183" s="5"/>
      <x:c r="AW183" s="5"/>
      <x:c r="AX183" s="5"/>
      <x:c r="AY183" s="5"/>
      <x:c r="AZ183" s="5"/>
    </x:row>
    <x:row r="184" spans="1:52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/>
      <x:c r="AW184" s="5"/>
      <x:c r="AX184" s="5"/>
      <x:c r="AY184" s="5"/>
      <x:c r="AZ184" s="5"/>
    </x:row>
    <x:row r="185" spans="1:52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</x:row>
    <x:row r="186" spans="1:52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</x:row>
    <x:row r="187" spans="1:52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</x:row>
    <x:row r="188" spans="1:52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</x:row>
    <x:row r="189" spans="1:52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</x:row>
    <x:row r="190" spans="1:52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</x:row>
    <x:row r="191" spans="1:52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  <x:c r="AQ191" s="5"/>
      <x:c r="AR191" s="5"/>
      <x:c r="AS191" s="5"/>
      <x:c r="AT191" s="5"/>
      <x:c r="AU191" s="5"/>
      <x:c r="AV191" s="5"/>
      <x:c r="AW191" s="5"/>
      <x:c r="AX191" s="5"/>
      <x:c r="AY191" s="5"/>
      <x:c r="AZ191" s="5"/>
    </x:row>
    <x:row r="192" spans="1:5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</x:row>
    <x:row r="193" spans="1:52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/>
    </x:row>
    <x:row r="194" spans="1:52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</x:row>
    <x:row r="195" spans="1:52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</x:row>
    <x:row r="196" spans="1:52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</x:row>
    <x:row r="197" spans="1:52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</x:row>
    <x:row r="198" spans="1:52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  <x:c r="AQ198" s="5"/>
      <x:c r="AR198" s="5"/>
      <x:c r="AS198" s="5"/>
      <x:c r="AT198" s="5"/>
      <x:c r="AU198" s="5"/>
      <x:c r="AV198" s="5"/>
      <x:c r="AW198" s="5"/>
      <x:c r="AX198" s="5"/>
      <x:c r="AY198" s="5"/>
      <x:c r="AZ198" s="5"/>
    </x:row>
    <x:row r="199" spans="1:52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</x:row>
    <x:row r="200" spans="1:52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</x:row>
    <x:row r="201" spans="1:52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/>
      <x:c r="AR201" s="5"/>
      <x:c r="AS201" s="5"/>
      <x:c r="AT201" s="5"/>
      <x:c r="AU201" s="5"/>
      <x:c r="AV201" s="5"/>
      <x:c r="AW201" s="5"/>
      <x:c r="AX201" s="5"/>
      <x:c r="AY201" s="5"/>
      <x:c r="AZ201" s="5"/>
    </x:row>
    <x:row r="202" spans="1:5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</x:row>
    <x:row r="203" spans="1:52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</x:row>
    <x:row r="204" spans="1:52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</x:row>
    <x:row r="205" spans="1:52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</x:row>
    <x:row r="206" spans="1:52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</x:row>
    <x:row r="207" spans="1:52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/>
    </x:row>
    <x:row r="208" spans="1:52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/>
    </x:row>
    <x:row r="209" spans="1:52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</x:row>
    <x:row r="210" spans="1:52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/>
    </x:row>
    <x:row r="211" spans="1:52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</x:row>
    <x:row r="212" spans="1:5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</x:row>
    <x:row r="213" spans="1:52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</x:row>
    <x:row r="214" spans="1:52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</x:row>
    <x:row r="215" spans="1:52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</x:row>
    <x:row r="216" spans="1:52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</x:row>
    <x:row r="217" spans="1:52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</x:row>
    <x:row r="218" spans="1:52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/>
      <x:c r="AR218" s="5"/>
      <x:c r="AS218" s="5"/>
      <x:c r="AT218" s="5"/>
      <x:c r="AU218" s="5"/>
      <x:c r="AV218" s="5"/>
      <x:c r="AW218" s="5"/>
      <x:c r="AX218" s="5"/>
      <x:c r="AY218" s="5"/>
      <x:c r="AZ218" s="5"/>
    </x:row>
    <x:row r="219" spans="1:52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</x:row>
    <x:row r="220" spans="1:52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</x:row>
  </x:sheetData>
  <x:mergeCells count="13">
    <x:mergeCell ref="A1:J2"/>
    <x:mergeCell ref="A3:J3"/>
    <x:mergeCell ref="A5:B6"/>
    <x:mergeCell ref="A7:B8"/>
    <x:mergeCell ref="C5:D6"/>
    <x:mergeCell ref="C7:D8"/>
    <x:mergeCell ref="E5:F6"/>
    <x:mergeCell ref="E7:F8"/>
    <x:mergeCell ref="G5:H6"/>
    <x:mergeCell ref="G7:H8"/>
    <x:mergeCell ref="I5:J6"/>
    <x:mergeCell ref="I7:J8"/>
    <x:mergeCell ref="A20:J20"/>
  </x:mergeCells>
  <x:conditionalFormatting sqref="B11:B18">
    <x:cfRule type="dataBar" priority="1">
      <x:dataBar>
        <x:cfvo type="min"/>
        <x:cfvo type="max"/>
        <x:color rgb="ff2e6f95"/>
      </x:dataBar>
    </x:cfRule>
  </x:conditionalFormatting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Z220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0" width="16" style="4" customWidth="1"/>
  </x:cols>
  <x:sheetData>
    <x:row r="1" spans="1:52">
      <x:c r="A1" s="17" t="s">
        <x:v>156</x:v>
      </x:c>
      <x:c r="B1" s="17" t="s">
        <x:v>59</x:v>
      </x:c>
      <x:c r="C1" s="17" t="s">
        <x:v>64</x:v>
      </x:c>
      <x:c r="D1" s="17" t="s">
        <x:v>71</x:v>
      </x:c>
      <x:c r="E1" s="17" t="s">
        <x:v>67</x:v>
      </x:c>
      <x:c r="F1" s="17" t="s">
        <x:v>80</x:v>
      </x:c>
      <x:c r="G1" s="17" t="s">
        <x:v>66</x:v>
      </x:c>
      <x:c r="H1" s="17" t="s">
        <x:v>118</x:v>
      </x:c>
      <x:c r="I1" s="17" t="s">
        <x:v>73</x:v>
      </x:c>
      <x:c r="J1" s="17" t="s">
        <x:v>197</x:v>
      </x:c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</x:row>
    <x:row r="2" spans="1:52">
      <x:c r="A2" s="5" t="s">
        <x:v>166</x:v>
      </x:c>
      <x:c r="B2" s="5" t="s">
        <x:v>203</x:v>
      </x:c>
      <x:c r="C2" s="5" t="s">
        <x:v>152</x:v>
      </x:c>
      <x:c r="D2" s="5" t="s">
        <x:v>196</x:v>
      </x:c>
      <x:c r="E2" s="5" t="s">
        <x:v>169</x:v>
      </x:c>
      <x:c r="F2" s="5" t="s">
        <x:v>227</x:v>
      </x:c>
      <x:c r="G2" s="5" t="s">
        <x:v>107</x:v>
      </x:c>
      <x:c r="H2" s="5" t="s">
        <x:v>177</x:v>
      </x:c>
      <x:c r="I2" s="5" t="s">
        <x:v>219</x:v>
      </x:c>
      <x:c r="J2" s="5" t="s">
        <x:v>232</x:v>
      </x:c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</x:row>
    <x:row r="3" spans="1:52">
      <x:c r="A3" s="5" t="s">
        <x:v>163</x:v>
      </x:c>
      <x:c r="B3" s="5" t="s">
        <x:v>153</x:v>
      </x:c>
      <x:c r="C3" s="5" t="s">
        <x:v>83</x:v>
      </x:c>
      <x:c r="D3" s="5" t="s">
        <x:v>180</x:v>
      </x:c>
      <x:c r="E3" s="5" t="s">
        <x:v>197</x:v>
      </x:c>
      <x:c r="F3" s="5" t="s">
        <x:v>206</x:v>
      </x:c>
      <x:c r="G3" s="5" t="s">
        <x:v>133</x:v>
      </x:c>
      <x:c r="H3" s="5" t="s">
        <x:v>225</x:v>
      </x:c>
      <x:c r="I3" s="5" t="s">
        <x:v>220</x:v>
      </x:c>
      <x:c r="J3" s="5" t="s">
        <x:v>244</x:v>
      </x:c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</x:row>
    <x:row r="4" spans="1:52">
      <x:c r="A4" s="5"/>
      <x:c r="B4" s="5" t="s">
        <x:v>216</x:v>
      </x:c>
      <x:c r="C4" s="5" t="s">
        <x:v>201</x:v>
      </x:c>
      <x:c r="D4" s="5" t="s">
        <x:v>223</x:v>
      </x:c>
      <x:c r="E4" s="5" t="s">
        <x:v>215</x:v>
      </x:c>
      <x:c r="F4" s="5"/>
      <x:c r="G4" s="5" t="s">
        <x:v>110</x:v>
      </x:c>
      <x:c r="H4" s="5" t="s">
        <x:v>234</x:v>
      </x:c>
      <x:c r="I4" s="5" t="s">
        <x:v>210</x:v>
      </x:c>
      <x:c r="J4" s="5" t="s">
        <x:v>187</x:v>
      </x:c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</x:row>
    <x:row r="5" spans="1:52">
      <x:c r="A5" s="5"/>
      <x:c r="B5" s="5" t="s">
        <x:v>173</x:v>
      </x:c>
      <x:c r="C5" s="5" t="s">
        <x:v>181</x:v>
      </x:c>
      <x:c r="D5" s="5" t="s">
        <x:v>216</x:v>
      </x:c>
      <x:c r="E5" s="5" t="s">
        <x:v>190</x:v>
      </x:c>
      <x:c r="F5" s="5"/>
      <x:c r="G5" s="5" t="s">
        <x:v>85</x:v>
      </x:c>
      <x:c r="H5" s="5" t="s">
        <x:v>214</x:v>
      </x:c>
      <x:c r="I5" s="5" t="s">
        <x:v>181</x:v>
      </x:c>
      <x:c r="J5" s="5" t="s">
        <x:v>179</x:v>
      </x:c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</x:row>
    <x:row r="6" spans="1:52">
      <x:c r="A6" s="5"/>
      <x:c r="B6" s="5" t="s">
        <x:v>194</x:v>
      </x:c>
      <x:c r="C6" s="5" t="s">
        <x:v>92</x:v>
      </x:c>
      <x:c r="D6" s="5" t="s">
        <x:v>212</x:v>
      </x:c>
      <x:c r="E6" s="5"/>
      <x:c r="F6" s="5"/>
      <x:c r="G6" s="5" t="s">
        <x:v>125</x:v>
      </x:c>
      <x:c r="H6" s="5"/>
      <x:c r="I6" s="5" t="s">
        <x:v>92</x:v>
      </x:c>
      <x:c r="J6" s="5" t="s">
        <x:v>207</x:v>
      </x:c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</x:row>
    <x:row r="7" spans="1:52">
      <x:c r="A7" s="5"/>
      <x:c r="B7" s="5" t="s">
        <x:v>221</x:v>
      </x:c>
      <x:c r="C7" s="5" t="s">
        <x:v>155</x:v>
      </x:c>
      <x:c r="D7" s="5" t="s">
        <x:v>211</x:v>
      </x:c>
      <x:c r="E7" s="5"/>
      <x:c r="F7" s="5"/>
      <x:c r="G7" s="5" t="s">
        <x:v>221</x:v>
      </x:c>
      <x:c r="H7" s="5"/>
      <x:c r="I7" s="5" t="s">
        <x:v>155</x:v>
      </x:c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</x:row>
    <x:row r="8" spans="1:52">
      <x:c r="A8" s="5"/>
      <x:c r="B8" s="5"/>
      <x:c r="C8" s="5" t="s">
        <x:v>89</x:v>
      </x:c>
      <x:c r="D8" s="5" t="s">
        <x:v>221</x:v>
      </x:c>
      <x:c r="E8" s="5"/>
      <x:c r="F8" s="5"/>
      <x:c r="G8" s="5"/>
      <x:c r="H8" s="5"/>
      <x:c r="I8" s="5" t="s">
        <x:v>245</x:v>
      </x:c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</x:row>
    <x:row r="9" spans="1:52">
      <x:c r="A9" s="5"/>
      <x:c r="B9" s="5"/>
      <x:c r="C9" s="5" t="s">
        <x:v>65</x:v>
      </x:c>
      <x:c r="D9" s="5"/>
      <x:c r="E9" s="5"/>
      <x:c r="F9" s="5"/>
      <x:c r="G9" s="5"/>
      <x:c r="H9" s="5"/>
      <x:c r="I9" s="5" t="s">
        <x:v>65</x:v>
      </x:c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</x:row>
    <x:row r="10" spans="1:52">
      <x:c r="A10" s="5"/>
      <x:c r="B10" s="5"/>
      <x:c r="C10" s="5" t="s">
        <x:v>193</x:v>
      </x:c>
      <x:c r="D10" s="5"/>
      <x:c r="E10" s="5"/>
      <x:c r="F10" s="5"/>
      <x:c r="G10" s="5"/>
      <x:c r="H10" s="5"/>
      <x:c r="I10" s="5" t="s">
        <x:v>202</x:v>
      </x:c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</x:row>
    <x:row r="11" spans="1:52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</x:row>
    <x:row r="12" spans="1:5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</x:row>
    <x:row r="13" spans="1:52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</x:row>
    <x:row r="14" spans="1:52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</x:row>
    <x:row r="15" spans="1:52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</x:row>
    <x:row r="16" spans="1:52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</x:row>
    <x:row r="17" spans="1:52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</x:row>
    <x:row r="18" spans="1:52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</x:row>
    <x:row r="19" spans="1:52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</x:row>
    <x:row r="20" spans="1:52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</x:row>
    <x:row r="21" spans="1:52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</x:row>
    <x:row r="22" spans="1:5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</x:row>
    <x:row r="23" spans="1:52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</x:row>
    <x:row r="24" spans="1:52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</x:row>
    <x:row r="25" spans="1:52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</x:row>
    <x:row r="26" spans="1:52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</x:row>
    <x:row r="27" spans="1:52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</x:row>
    <x:row r="28" spans="1:52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</x:row>
    <x:row r="29" spans="1:52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</x:row>
    <x:row r="30" spans="1:52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</x:row>
    <x:row r="31" spans="1:52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</x:row>
    <x:row r="32" spans="1:5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</x:row>
    <x:row r="33" spans="1:52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</x:row>
    <x:row r="34" spans="1:52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</x:row>
    <x:row r="35" spans="1:52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</x:row>
    <x:row r="36" spans="1:52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</x:row>
    <x:row r="37" spans="1:52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</x:row>
    <x:row r="38" spans="1:52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</x:row>
    <x:row r="39" spans="1:52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</x:row>
    <x:row r="40" spans="1:52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</x:row>
    <x:row r="41" spans="1:52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</x:row>
    <x:row r="42" spans="1:5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</x:row>
    <x:row r="43" spans="1:52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</x:row>
    <x:row r="44" spans="1:52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</x:row>
    <x:row r="45" spans="1:52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</x:row>
    <x:row r="46" spans="1:52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</x:row>
    <x:row r="47" spans="1:52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</x:row>
    <x:row r="48" spans="1:52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</x:row>
    <x:row r="49" spans="1:52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</x:row>
    <x:row r="50" spans="1:52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</x:row>
    <x:row r="51" spans="1:52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</x:row>
    <x:row r="52" spans="1: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</x:row>
    <x:row r="53" spans="1:52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</x:row>
    <x:row r="54" spans="1:52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</x:row>
    <x:row r="55" spans="1:52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</x:row>
    <x:row r="56" spans="1:52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</x:row>
    <x:row r="57" spans="1:52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</x:row>
    <x:row r="58" spans="1:52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</x:row>
    <x:row r="59" spans="1:52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</x:row>
    <x:row r="60" spans="1:52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</x:row>
    <x:row r="61" spans="1:52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</x:row>
    <x:row r="62" spans="1:5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</x:row>
    <x:row r="63" spans="1:52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</x:row>
    <x:row r="64" spans="1:52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</x:row>
    <x:row r="65" spans="1:52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</x:row>
    <x:row r="66" spans="1:52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</x:row>
    <x:row r="67" spans="1:52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</x:row>
    <x:row r="68" spans="1:52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</x:row>
    <x:row r="69" spans="1:52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</x:row>
    <x:row r="70" spans="1:52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</x:row>
    <x:row r="71" spans="1:52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</x:row>
    <x:row r="72" spans="1:5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</x:row>
    <x:row r="73" spans="1:52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</x:row>
    <x:row r="74" spans="1:52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</x:row>
    <x:row r="75" spans="1:52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</x:row>
    <x:row r="76" spans="1:52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/>
      <x:c r="AS76" s="5"/>
      <x:c r="AT76" s="5"/>
      <x:c r="AU76" s="5"/>
      <x:c r="AV76" s="5"/>
      <x:c r="AW76" s="5"/>
      <x:c r="AX76" s="5"/>
      <x:c r="AY76" s="5"/>
      <x:c r="AZ76" s="5"/>
    </x:row>
    <x:row r="77" spans="1:52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</x:row>
    <x:row r="78" spans="1:52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</x:row>
    <x:row r="79" spans="1:52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</x:row>
    <x:row r="80" spans="1:52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  <x:c r="AQ80" s="5"/>
      <x:c r="AR80" s="5"/>
      <x:c r="AS80" s="5"/>
      <x:c r="AT80" s="5"/>
      <x:c r="AU80" s="5"/>
      <x:c r="AV80" s="5"/>
      <x:c r="AW80" s="5"/>
      <x:c r="AX80" s="5"/>
      <x:c r="AY80" s="5"/>
      <x:c r="AZ80" s="5"/>
    </x:row>
    <x:row r="81" spans="1:52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/>
    </x:row>
    <x:row r="82" spans="1:5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</x:row>
    <x:row r="83" spans="1:52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  <x:c r="AQ83" s="5"/>
      <x:c r="AR83" s="5"/>
      <x:c r="AS83" s="5"/>
      <x:c r="AT83" s="5"/>
      <x:c r="AU83" s="5"/>
      <x:c r="AV83" s="5"/>
      <x:c r="AW83" s="5"/>
      <x:c r="AX83" s="5"/>
      <x:c r="AY83" s="5"/>
      <x:c r="AZ83" s="5"/>
    </x:row>
    <x:row r="84" spans="1:52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</x:row>
    <x:row r="85" spans="1:52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</x:row>
    <x:row r="86" spans="1:52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</x:row>
    <x:row r="87" spans="1:52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</x:row>
    <x:row r="88" spans="1:52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</x:row>
    <x:row r="89" spans="1:52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</x:row>
    <x:row r="90" spans="1:52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</x:row>
    <x:row r="91" spans="1:52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</x:row>
    <x:row r="92" spans="1:5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</x:row>
    <x:row r="93" spans="1:52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</x:row>
    <x:row r="94" spans="1:52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</x:row>
    <x:row r="95" spans="1:52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</x:row>
    <x:row r="96" spans="1:52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</x:row>
    <x:row r="97" spans="1:52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</x:row>
    <x:row r="98" spans="1:52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</x:row>
    <x:row r="99" spans="1:52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</x:row>
    <x:row r="100" spans="1:52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</x:row>
    <x:row r="101" spans="1:52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</x:row>
    <x:row r="102" spans="1:5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</x:row>
    <x:row r="103" spans="1:52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</x:row>
    <x:row r="104" spans="1:52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</x:row>
    <x:row r="105" spans="1:52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</x:row>
    <x:row r="106" spans="1:52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</x:row>
    <x:row r="107" spans="1:52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</x:row>
    <x:row r="108" spans="1:52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</x:row>
    <x:row r="109" spans="1:52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</x:row>
    <x:row r="110" spans="1:52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</x:row>
    <x:row r="111" spans="1:52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</x:row>
    <x:row r="112" spans="1:5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</x:row>
    <x:row r="113" spans="1:52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</x:row>
    <x:row r="114" spans="1:52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</x:row>
    <x:row r="115" spans="1:52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</x:row>
    <x:row r="116" spans="1:52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</x:row>
    <x:row r="117" spans="1:52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</x:row>
    <x:row r="118" spans="1:52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</x:row>
    <x:row r="119" spans="1:52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</x:row>
    <x:row r="120" spans="1:52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</x:row>
    <x:row r="121" spans="1:52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</x:row>
    <x:row r="122" spans="1:5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</x:row>
    <x:row r="123" spans="1:52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</x:row>
    <x:row r="124" spans="1:52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</x:row>
    <x:row r="125" spans="1:52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</x:row>
    <x:row r="126" spans="1:52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</x:row>
    <x:row r="127" spans="1:52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</x:row>
    <x:row r="128" spans="1:52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</x:row>
    <x:row r="129" spans="1:52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</x:row>
    <x:row r="130" spans="1:52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</x:row>
    <x:row r="131" spans="1:52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</x:row>
    <x:row r="132" spans="1:5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</x:row>
    <x:row r="133" spans="1:52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</x:row>
    <x:row r="134" spans="1:52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</x:row>
    <x:row r="135" spans="1:52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</x:row>
    <x:row r="136" spans="1:52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</x:row>
    <x:row r="137" spans="1:52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</x:row>
    <x:row r="138" spans="1:52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</x:row>
    <x:row r="139" spans="1:52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</x:row>
    <x:row r="140" spans="1:52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</x:row>
    <x:row r="141" spans="1:52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</x:row>
    <x:row r="142" spans="1:5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</x:row>
    <x:row r="143" spans="1:52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</x:row>
    <x:row r="144" spans="1:52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  <x:c r="AQ144" s="5"/>
      <x:c r="AR144" s="5"/>
      <x:c r="AS144" s="5"/>
      <x:c r="AT144" s="5"/>
      <x:c r="AU144" s="5"/>
      <x:c r="AV144" s="5"/>
      <x:c r="AW144" s="5"/>
      <x:c r="AX144" s="5"/>
      <x:c r="AY144" s="5"/>
      <x:c r="AZ144" s="5"/>
    </x:row>
    <x:row r="145" spans="1:52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</x:row>
    <x:row r="146" spans="1:52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</x:row>
    <x:row r="147" spans="1:52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</x:row>
    <x:row r="148" spans="1:52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</x:row>
    <x:row r="149" spans="1:52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</x:row>
    <x:row r="150" spans="1:52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</x:row>
    <x:row r="151" spans="1:52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</x:row>
    <x:row r="152" spans="1: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  <x:c r="AQ152" s="5"/>
      <x:c r="AR152" s="5"/>
      <x:c r="AS152" s="5"/>
      <x:c r="AT152" s="5"/>
      <x:c r="AU152" s="5"/>
      <x:c r="AV152" s="5"/>
      <x:c r="AW152" s="5"/>
      <x:c r="AX152" s="5"/>
      <x:c r="AY152" s="5"/>
      <x:c r="AZ152" s="5"/>
    </x:row>
    <x:row r="153" spans="1:52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</x:row>
    <x:row r="154" spans="1:52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</x:row>
    <x:row r="155" spans="1:52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</x:row>
    <x:row r="156" spans="1:52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</x:row>
    <x:row r="157" spans="1:52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  <x:c r="AQ157" s="5"/>
      <x:c r="AR157" s="5"/>
      <x:c r="AS157" s="5"/>
      <x:c r="AT157" s="5"/>
      <x:c r="AU157" s="5"/>
      <x:c r="AV157" s="5"/>
      <x:c r="AW157" s="5"/>
      <x:c r="AX157" s="5"/>
      <x:c r="AY157" s="5"/>
      <x:c r="AZ157" s="5"/>
    </x:row>
    <x:row r="158" spans="1:52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  <x:c r="AQ158" s="5"/>
      <x:c r="AR158" s="5"/>
      <x:c r="AS158" s="5"/>
      <x:c r="AT158" s="5"/>
      <x:c r="AU158" s="5"/>
      <x:c r="AV158" s="5"/>
      <x:c r="AW158" s="5"/>
      <x:c r="AX158" s="5"/>
      <x:c r="AY158" s="5"/>
      <x:c r="AZ158" s="5"/>
    </x:row>
    <x:row r="159" spans="1:52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</x:row>
    <x:row r="160" spans="1:52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</x:row>
    <x:row r="161" spans="1:52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</x:row>
    <x:row r="162" spans="1:5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</x:row>
    <x:row r="163" spans="1:52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</x:row>
    <x:row r="164" spans="1:52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</x:row>
    <x:row r="165" spans="1:52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</x:row>
    <x:row r="166" spans="1:52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</x:row>
    <x:row r="167" spans="1:52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</x:row>
    <x:row r="168" spans="1:52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/>
    </x:row>
    <x:row r="169" spans="1:52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  <x:c r="AQ169" s="5"/>
      <x:c r="AR169" s="5"/>
      <x:c r="AS169" s="5"/>
      <x:c r="AT169" s="5"/>
      <x:c r="AU169" s="5"/>
      <x:c r="AV169" s="5"/>
      <x:c r="AW169" s="5"/>
      <x:c r="AX169" s="5"/>
      <x:c r="AY169" s="5"/>
      <x:c r="AZ169" s="5"/>
    </x:row>
    <x:row r="170" spans="1:52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  <x:c r="AQ170" s="5"/>
      <x:c r="AR170" s="5"/>
      <x:c r="AS170" s="5"/>
      <x:c r="AT170" s="5"/>
      <x:c r="AU170" s="5"/>
      <x:c r="AV170" s="5"/>
      <x:c r="AW170" s="5"/>
      <x:c r="AX170" s="5"/>
      <x:c r="AY170" s="5"/>
      <x:c r="AZ170" s="5"/>
    </x:row>
    <x:row r="171" spans="1:52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/>
      <x:c r="AR171" s="5"/>
      <x:c r="AS171" s="5"/>
      <x:c r="AT171" s="5"/>
      <x:c r="AU171" s="5"/>
      <x:c r="AV171" s="5"/>
      <x:c r="AW171" s="5"/>
      <x:c r="AX171" s="5"/>
      <x:c r="AY171" s="5"/>
      <x:c r="AZ171" s="5"/>
    </x:row>
    <x:row r="172" spans="1:5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</x:row>
    <x:row r="173" spans="1:52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/>
    </x:row>
    <x:row r="174" spans="1:52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  <x:c r="AQ174" s="5"/>
      <x:c r="AR174" s="5"/>
      <x:c r="AS174" s="5"/>
      <x:c r="AT174" s="5"/>
      <x:c r="AU174" s="5"/>
      <x:c r="AV174" s="5"/>
      <x:c r="AW174" s="5"/>
      <x:c r="AX174" s="5"/>
      <x:c r="AY174" s="5"/>
      <x:c r="AZ174" s="5"/>
    </x:row>
    <x:row r="175" spans="1:52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</x:row>
    <x:row r="176" spans="1:52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</x:row>
    <x:row r="177" spans="1:52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</x:row>
    <x:row r="178" spans="1:52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</x:row>
    <x:row r="179" spans="1:52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/>
    </x:row>
    <x:row r="180" spans="1:52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</x:row>
    <x:row r="181" spans="1:52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/>
      <x:c r="AR181" s="5"/>
      <x:c r="AS181" s="5"/>
      <x:c r="AT181" s="5"/>
      <x:c r="AU181" s="5"/>
      <x:c r="AV181" s="5"/>
      <x:c r="AW181" s="5"/>
      <x:c r="AX181" s="5"/>
      <x:c r="AY181" s="5"/>
      <x:c r="AZ181" s="5"/>
    </x:row>
    <x:row r="182" spans="1:5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</x:row>
    <x:row r="183" spans="1:52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/>
      <x:c r="AR183" s="5"/>
      <x:c r="AS183" s="5"/>
      <x:c r="AT183" s="5"/>
      <x:c r="AU183" s="5"/>
      <x:c r="AV183" s="5"/>
      <x:c r="AW183" s="5"/>
      <x:c r="AX183" s="5"/>
      <x:c r="AY183" s="5"/>
      <x:c r="AZ183" s="5"/>
    </x:row>
    <x:row r="184" spans="1:52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/>
      <x:c r="AW184" s="5"/>
      <x:c r="AX184" s="5"/>
      <x:c r="AY184" s="5"/>
      <x:c r="AZ184" s="5"/>
    </x:row>
    <x:row r="185" spans="1:52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</x:row>
    <x:row r="186" spans="1:52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</x:row>
    <x:row r="187" spans="1:52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</x:row>
    <x:row r="188" spans="1:52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</x:row>
    <x:row r="189" spans="1:52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</x:row>
    <x:row r="190" spans="1:52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</x:row>
    <x:row r="191" spans="1:52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  <x:c r="AQ191" s="5"/>
      <x:c r="AR191" s="5"/>
      <x:c r="AS191" s="5"/>
      <x:c r="AT191" s="5"/>
      <x:c r="AU191" s="5"/>
      <x:c r="AV191" s="5"/>
      <x:c r="AW191" s="5"/>
      <x:c r="AX191" s="5"/>
      <x:c r="AY191" s="5"/>
      <x:c r="AZ191" s="5"/>
    </x:row>
    <x:row r="192" spans="1:5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</x:row>
    <x:row r="193" spans="1:52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/>
    </x:row>
    <x:row r="194" spans="1:52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</x:row>
    <x:row r="195" spans="1:52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</x:row>
    <x:row r="196" spans="1:52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</x:row>
    <x:row r="197" spans="1:52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</x:row>
    <x:row r="198" spans="1:52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  <x:c r="AQ198" s="5"/>
      <x:c r="AR198" s="5"/>
      <x:c r="AS198" s="5"/>
      <x:c r="AT198" s="5"/>
      <x:c r="AU198" s="5"/>
      <x:c r="AV198" s="5"/>
      <x:c r="AW198" s="5"/>
      <x:c r="AX198" s="5"/>
      <x:c r="AY198" s="5"/>
      <x:c r="AZ198" s="5"/>
    </x:row>
    <x:row r="199" spans="1:52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</x:row>
    <x:row r="200" spans="1:52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</x:row>
    <x:row r="201" spans="1:52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/>
      <x:c r="AR201" s="5"/>
      <x:c r="AS201" s="5"/>
      <x:c r="AT201" s="5"/>
      <x:c r="AU201" s="5"/>
      <x:c r="AV201" s="5"/>
      <x:c r="AW201" s="5"/>
      <x:c r="AX201" s="5"/>
      <x:c r="AY201" s="5"/>
      <x:c r="AZ201" s="5"/>
    </x:row>
    <x:row r="202" spans="1:5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</x:row>
    <x:row r="203" spans="1:52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</x:row>
    <x:row r="204" spans="1:52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</x:row>
    <x:row r="205" spans="1:52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</x:row>
    <x:row r="206" spans="1:52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</x:row>
    <x:row r="207" spans="1:52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/>
    </x:row>
    <x:row r="208" spans="1:52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/>
    </x:row>
    <x:row r="209" spans="1:52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</x:row>
    <x:row r="210" spans="1:52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/>
    </x:row>
    <x:row r="211" spans="1:52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</x:row>
    <x:row r="212" spans="1:5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</x:row>
    <x:row r="213" spans="1:52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</x:row>
    <x:row r="214" spans="1:52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</x:row>
    <x:row r="215" spans="1:52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</x:row>
    <x:row r="216" spans="1:52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</x:row>
    <x:row r="217" spans="1:52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</x:row>
    <x:row r="218" spans="1:52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/>
      <x:c r="AR218" s="5"/>
      <x:c r="AS218" s="5"/>
      <x:c r="AT218" s="5"/>
      <x:c r="AU218" s="5"/>
      <x:c r="AV218" s="5"/>
      <x:c r="AW218" s="5"/>
      <x:c r="AX218" s="5"/>
      <x:c r="AY218" s="5"/>
      <x:c r="AZ218" s="5"/>
    </x:row>
    <x:row r="219" spans="1:52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</x:row>
    <x:row r="220" spans="1:52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D7"/>
  <x:sheetViews>
    <x:sheetView topLeftCell="A1" zoomScaleNormal="100" zoomScaleSheetLayoutView="75" workbookViewId="0">
      <x:selection activeCell="C7" activeCellId="0" sqref="C7:D7"/>
    </x:sheetView>
  </x:sheetViews>
  <x:sheetFormatPr defaultColWidth="8.72265625" defaultRowHeight="13.550000000000001"/>
  <x:cols>
    <x:col min="1" max="1" width="22" style="1" customWidth="1"/>
    <x:col min="2" max="2" width="16" style="1" customWidth="1"/>
    <x:col min="3" max="3" width="42" style="1" customWidth="1"/>
    <x:col min="4" max="4" width="24" style="1" customWidth="1"/>
  </x:cols>
  <x:sheetData>
    <x:row r="1" spans="1:4" ht="30" customHeight="1">
      <x:c r="A1" s="40" t="s">
        <x:v>333</x:v>
      </x:c>
      <x:c r="B1" s="40"/>
      <x:c r="C1" s="40"/>
      <x:c r="D1" s="40"/>
    </x:row>
    <x:row r="3" spans="1:4">
      <x:c r="A3" s="1" t="s">
        <x:v>191</x:v>
      </x:c>
      <x:c r="B3" s="1" t="s">
        <x:v>231</x:v>
      </x:c>
      <x:c r="C3" s="1" t="s">
        <x:v>204</x:v>
      </x:c>
      <x:c r="D3" s="1" t="s">
        <x:v>113</x:v>
      </x:c>
    </x:row>
    <x:row r="4" spans="1:4">
      <x:c r="A4" s="1" t="s">
        <x:v>324</x:v>
      </x:c>
      <x:c r="B4" s="1">
        <x:v>5</x:v>
      </x:c>
      <x:c r="C4" s="1" t="s">
        <x:v>47</x:v>
      </x:c>
      <x:c r="D4" s="1" t="s">
        <x:v>330</x:v>
      </x:c>
    </x:row>
    <x:row r="5" spans="1:4">
      <x:c r="A5" s="1" t="s">
        <x:v>99</x:v>
      </x:c>
      <x:c r="B5" s="1">
        <x:v>60</x:v>
      </x:c>
      <x:c r="C5" s="1" t="s">
        <x:v>344</x:v>
      </x:c>
      <x:c r="D5" s="1" t="s">
        <x:v>330</x:v>
      </x:c>
    </x:row>
    <x:row r="6" spans="1:4">
      <x:c r="A6" s="1" t="s">
        <x:v>96</x:v>
      </x:c>
      <x:c r="B6" s="1">
        <x:v>2026</x:v>
      </x:c>
      <x:c r="C6" s="1" t="s">
        <x:v>147</x:v>
      </x:c>
      <x:c r="D6" s="1" t="s">
        <x:v>346</x:v>
      </x:c>
    </x:row>
    <x:row r="7" spans="1:4">
      <x:c r="A7" s="1" t="s">
        <x:v>229</x:v>
      </x:c>
      <x:c r="B7" s="1" t="s">
        <x:v>129</x:v>
      </x:c>
      <x:c r="C7" s="1" t="s">
        <x:v>44</x:v>
      </x:c>
      <x:c r="D7" s="1" t="s">
        <x:v>126</x:v>
      </x:c>
    </x:row>
  </x:sheetData>
  <x:mergeCells count="1">
    <x:mergeCell ref="A1:D1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사용안내</vt:lpstr>
      <vt:lpstr>기도대상자관리</vt:lpstr>
      <vt:lpstr>일만상상프로젝트</vt:lpstr>
      <vt:lpstr>전도현황</vt:lpstr>
      <vt:lpstr>목록</vt:lpstr>
      <vt:lpstr>환경설정</vt:lpstr>
    </vt:vector>
  </ep:TitlesOfParts>
  <ep:TotalTime>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8</cp:revision>
  <dcterms:created xsi:type="dcterms:W3CDTF">2026-07-27T12:44:19.265</dcterms:created>
  <dcterms:modified xsi:type="dcterms:W3CDTF">2026-07-27T15:39:26.648</dcterms:modified>
  <cp:version>1100.0100.01</cp:version>
</cp:coreProperties>
</file>